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ll Interaction Log" sheetId="1" state="visible" r:id="rId3"/>
    <sheet name="Account Priority Matrix" sheetId="2" state="visible" r:id="rId4"/>
    <sheet name="DMS Performance" sheetId="3" state="visible" r:id="rId5"/>
    <sheet name="Bucket Trend Analysis" sheetId="4" state="visible" r:id="rId6"/>
    <sheet name="Recovery Strategy Tracker" sheetId="5" state="visible" r:id="rId7"/>
    <sheet name="Agency &amp; Conduct Tracker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<sst xmlns="http://schemas.openxmlformats.org/spreadsheetml/2006/main" count="541" uniqueCount="286">
  <si>
    <t xml:space="preserve">BFL DMS (Consumer) — Customer Call Interaction Log</t>
  </si>
  <si>
    <t xml:space="preserve">Source: DMS Collections CRM | Calls 21–30 Sep 2026 | West Zone | Synthetic training data</t>
  </si>
  <si>
    <t xml:space="preserve">Call ID</t>
  </si>
  <si>
    <t xml:space="preserve">Call Date</t>
  </si>
  <si>
    <t xml:space="preserve">Call Time</t>
  </si>
  <si>
    <t xml:space="preserve">Customer Name</t>
  </si>
  <si>
    <t xml:space="preserve">Account ID</t>
  </si>
  <si>
    <t xml:space="preserve">Product</t>
  </si>
  <si>
    <t xml:space="preserve">DPD</t>
  </si>
  <si>
    <t xml:space="preserve">Overdue Amount (₹)</t>
  </si>
  <si>
    <t xml:space="preserve">Bounce Reason</t>
  </si>
  <si>
    <t xml:space="preserve">Called By</t>
  </si>
  <si>
    <t xml:space="preserve">Call Outcome</t>
  </si>
  <si>
    <t xml:space="preserve">PTP Date</t>
  </si>
  <si>
    <t xml:space="preserve">PTP Amount (₹)</t>
  </si>
  <si>
    <t xml:space="preserve">Action Taken</t>
  </si>
  <si>
    <t xml:space="preserve">CL-02601</t>
  </si>
  <si>
    <t xml:space="preserve">10:15</t>
  </si>
  <si>
    <t xml:space="preserve">Ramesh Patil</t>
  </si>
  <si>
    <t xml:space="preserve">BFL-PL-70112</t>
  </si>
  <si>
    <t xml:space="preserve">Personal Loan</t>
  </si>
  <si>
    <t xml:space="preserve">Insufficient funds</t>
  </si>
  <si>
    <t xml:space="preserve">Rajesh Kumar</t>
  </si>
  <si>
    <t xml:space="preserve">PTP Confirmed</t>
  </si>
  <si>
    <t xml:space="preserve">PTP logged in CRM; payment link sent by SMS</t>
  </si>
  <si>
    <t xml:space="preserve">CL-02602</t>
  </si>
  <si>
    <t xml:space="preserve">11:40</t>
  </si>
  <si>
    <t xml:space="preserve">Sunita Mehta</t>
  </si>
  <si>
    <t xml:space="preserve">BFL-CD-40218</t>
  </si>
  <si>
    <t xml:space="preserve">Consumer Durable</t>
  </si>
  <si>
    <t xml:space="preserve">Mandate revoked by customer</t>
  </si>
  <si>
    <t xml:space="preserve">Pooja Sharma</t>
  </si>
  <si>
    <t xml:space="preserve">Escalated</t>
  </si>
  <si>
    <t xml:space="preserve">Customer says product returned to dealer; escalated to Dispute Desk</t>
  </si>
  <si>
    <t xml:space="preserve">CL-02603</t>
  </si>
  <si>
    <t xml:space="preserve">10:05</t>
  </si>
  <si>
    <t xml:space="preserve">Anil Sharma</t>
  </si>
  <si>
    <t xml:space="preserve">BFL-DP-50331</t>
  </si>
  <si>
    <t xml:space="preserve">Digital Product</t>
  </si>
  <si>
    <t xml:space="preserve">Sunita Rao</t>
  </si>
  <si>
    <t xml:space="preserve">WhatsApp reminder set; customer travelling</t>
  </si>
  <si>
    <t xml:space="preserve">CL-02604</t>
  </si>
  <si>
    <t xml:space="preserve">16:20</t>
  </si>
  <si>
    <t xml:space="preserve">Kavita Deshmukh</t>
  </si>
  <si>
    <t xml:space="preserve">BFL-TW-80417</t>
  </si>
  <si>
    <t xml:space="preserve">Two-Wheeler</t>
  </si>
  <si>
    <t xml:space="preserve">Sahyadri Recovery Services</t>
  </si>
  <si>
    <t xml:space="preserve">No Response</t>
  </si>
  <si>
    <t xml:space="preserve">3rd attempt failed; field visit booked 2 Oct</t>
  </si>
  <si>
    <t xml:space="preserve">CL-02605</t>
  </si>
  <si>
    <t xml:space="preserve">12:30</t>
  </si>
  <si>
    <t xml:space="preserve">Suresh Nair</t>
  </si>
  <si>
    <t xml:space="preserve">BFL-LF-60529</t>
  </si>
  <si>
    <t xml:space="preserve">Lifestyle Finance</t>
  </si>
  <si>
    <t xml:space="preserve">Account balance low</t>
  </si>
  <si>
    <t xml:space="preserve">Amit Tiwari</t>
  </si>
  <si>
    <t xml:space="preserve">Partial PTP</t>
  </si>
  <si>
    <t xml:space="preserve">Balance by 15 Oct; restructure eligibility check initiated</t>
  </si>
  <si>
    <t xml:space="preserve">CL-02606</t>
  </si>
  <si>
    <t xml:space="preserve">15:10</t>
  </si>
  <si>
    <t xml:space="preserve">Priya Kulkarni</t>
  </si>
  <si>
    <t xml:space="preserve">BFL-CD-40633</t>
  </si>
  <si>
    <t xml:space="preserve">Account closed</t>
  </si>
  <si>
    <t xml:space="preserve">Dispute</t>
  </si>
  <si>
    <t xml:space="preserve">Claims loan foreclosed at dealer; foreclosure not reflected; verification pending</t>
  </si>
  <si>
    <t xml:space="preserve">CL-02607</t>
  </si>
  <si>
    <t xml:space="preserve">17:45</t>
  </si>
  <si>
    <t xml:space="preserve">Deepak Joshi</t>
  </si>
  <si>
    <t xml:space="preserve">BFL-PL-70741</t>
  </si>
  <si>
    <t xml:space="preserve">Legal notice being prepared; 3rd escalation</t>
  </si>
  <si>
    <t xml:space="preserve">CL-02608</t>
  </si>
  <si>
    <t xml:space="preserve">11:25</t>
  </si>
  <si>
    <t xml:space="preserve">Meena Rao</t>
  </si>
  <si>
    <t xml:space="preserve">BFL-DP-50852</t>
  </si>
  <si>
    <t xml:space="preserve">Godavari Credit Assist</t>
  </si>
  <si>
    <t xml:space="preserve">Field agent to collect via digital receipt</t>
  </si>
  <si>
    <t xml:space="preserve">CL-02609</t>
  </si>
  <si>
    <t xml:space="preserve">14:05</t>
  </si>
  <si>
    <t xml:space="preserve">Santosh More</t>
  </si>
  <si>
    <t xml:space="preserve">BFL-TW-80963</t>
  </si>
  <si>
    <t xml:space="preserve">Ravi Patil</t>
  </si>
  <si>
    <t xml:space="preserve">Follow-up call 1 Oct if payment not received</t>
  </si>
  <si>
    <t xml:space="preserve">CL-02610</t>
  </si>
  <si>
    <t xml:space="preserve">19:42</t>
  </si>
  <si>
    <t xml:space="preserve">Anita Bhatt</t>
  </si>
  <si>
    <t xml:space="preserve">BFL-PL-71074</t>
  </si>
  <si>
    <t xml:space="preserve">Konkan Collect Associates</t>
  </si>
  <si>
    <t xml:space="preserve">Promise Broken</t>
  </si>
  <si>
    <t xml:space="preserve">2nd missed PTP; escalated to senior collector</t>
  </si>
  <si>
    <t xml:space="preserve">CL-02611</t>
  </si>
  <si>
    <t xml:space="preserve">10:50</t>
  </si>
  <si>
    <t xml:space="preserve">Farhan Shaikh</t>
  </si>
  <si>
    <t xml:space="preserve">BFL-LF-61185</t>
  </si>
  <si>
    <t xml:space="preserve">Customer confirmed UPI payment; SMS reminder sent</t>
  </si>
  <si>
    <t xml:space="preserve">CL-02612</t>
  </si>
  <si>
    <t xml:space="preserve">13:35</t>
  </si>
  <si>
    <t xml:space="preserve">Vijay Nambiar</t>
  </si>
  <si>
    <t xml:space="preserve">BFL-DP-51296</t>
  </si>
  <si>
    <t xml:space="preserve">Signature mismatch</t>
  </si>
  <si>
    <t xml:space="preserve">Callback Requested</t>
  </si>
  <si>
    <t xml:space="preserve">Customer in meeting; callback 6 PM 25 Sep; fresh mandate to be registered</t>
  </si>
  <si>
    <t xml:space="preserve">CL-02613</t>
  </si>
  <si>
    <t xml:space="preserve">11:10</t>
  </si>
  <si>
    <t xml:space="preserve">Rashmi Singh</t>
  </si>
  <si>
    <t xml:space="preserve">BFL-CD-41307</t>
  </si>
  <si>
    <t xml:space="preserve">Festive purchase; PTP after salary credit</t>
  </si>
  <si>
    <t xml:space="preserve">CL-02614</t>
  </si>
  <si>
    <t xml:space="preserve">16:55</t>
  </si>
  <si>
    <t xml:space="preserve">Ganesh Pawar</t>
  </si>
  <si>
    <t xml:space="preserve">BFL-TW-81418</t>
  </si>
  <si>
    <t xml:space="preserve">UPI payment preferred; link shared via WhatsApp</t>
  </si>
  <si>
    <t xml:space="preserve">CL-02615</t>
  </si>
  <si>
    <t xml:space="preserve">12:20</t>
  </si>
  <si>
    <t xml:space="preserve">Swati Iyer</t>
  </si>
  <si>
    <t xml:space="preserve">BFL-PL-71529</t>
  </si>
  <si>
    <t xml:space="preserve">Account moved to 90+; legal team notified</t>
  </si>
  <si>
    <t xml:space="preserve">CL-02616</t>
  </si>
  <si>
    <t xml:space="preserve">17:05</t>
  </si>
  <si>
    <t xml:space="preserve">Rohan Mishra</t>
  </si>
  <si>
    <t xml:space="preserve">BFL-LF-61630</t>
  </si>
  <si>
    <t xml:space="preserve">Partial ₹10,000 agreed; balance negotiated for 10 Oct</t>
  </si>
  <si>
    <t xml:space="preserve">CL-02617</t>
  </si>
  <si>
    <t xml:space="preserve">10:35</t>
  </si>
  <si>
    <t xml:space="preserve">Anjali Verma</t>
  </si>
  <si>
    <t xml:space="preserve">BFL-CD-41741</t>
  </si>
  <si>
    <t xml:space="preserve">First-time bounce; cooperative; reminder via SMS</t>
  </si>
  <si>
    <t xml:space="preserve">CL-02618</t>
  </si>
  <si>
    <t xml:space="preserve">07:35</t>
  </si>
  <si>
    <t xml:space="preserve">Kiran Desai</t>
  </si>
  <si>
    <t xml:space="preserve">BFL-DP-51852</t>
  </si>
  <si>
    <t xml:space="preserve">DigiReach Tele-Collect</t>
  </si>
  <si>
    <t xml:space="preserve">IVR blast triggered; field visit tentative</t>
  </si>
  <si>
    <t xml:space="preserve">CL-02619</t>
  </si>
  <si>
    <t xml:space="preserve">15:40</t>
  </si>
  <si>
    <t xml:space="preserve">Mohammed Shaikh</t>
  </si>
  <si>
    <t xml:space="preserve">BFL-LF-61963</t>
  </si>
  <si>
    <t xml:space="preserve">Balance by 8 Oct; income irregular</t>
  </si>
  <si>
    <t xml:space="preserve">CL-02620</t>
  </si>
  <si>
    <t xml:space="preserve">12:55</t>
  </si>
  <si>
    <t xml:space="preserve">Pooja Tiwari</t>
  </si>
  <si>
    <t xml:space="preserve">BFL-TW-82074</t>
  </si>
  <si>
    <t xml:space="preserve">New customer; cooperative; automated reminder set</t>
  </si>
  <si>
    <t xml:space="preserve">BFL DMS (Consumer) — Account Priority Matrix</t>
  </si>
  <si>
    <t xml:space="preserve">Source: LMS / DMS Collections System | As of 30 Sep 2026 | Risk Score = DPD × Overdue Amount ÷ 1,000 | Synthetic training data</t>
  </si>
  <si>
    <t xml:space="preserve">DPD Bucket</t>
  </si>
  <si>
    <t xml:space="preserve">Risk Score</t>
  </si>
  <si>
    <t xml:space="preserve">Priority Tier</t>
  </si>
  <si>
    <t xml:space="preserve">Last Contact</t>
  </si>
  <si>
    <t xml:space="preserve">Collector</t>
  </si>
  <si>
    <t xml:space="preserve">Field Visit?</t>
  </si>
  <si>
    <t xml:space="preserve">Recommended Action</t>
  </si>
  <si>
    <t xml:space="preserve">90+ DPD</t>
  </si>
  <si>
    <t xml:space="preserve">Critical</t>
  </si>
  <si>
    <t xml:space="preserve">Yes</t>
  </si>
  <si>
    <t xml:space="preserve">61–90 DPD</t>
  </si>
  <si>
    <t xml:space="preserve">High</t>
  </si>
  <si>
    <t xml:space="preserve">Field agency visit + PTP within 7 days</t>
  </si>
  <si>
    <t xml:space="preserve">No</t>
  </si>
  <si>
    <t xml:space="preserve">31–60 DPD</t>
  </si>
  <si>
    <t xml:space="preserve">Medium</t>
  </si>
  <si>
    <t xml:space="preserve">Tele-calling + payment link</t>
  </si>
  <si>
    <t xml:space="preserve">1–30 DPD</t>
  </si>
  <si>
    <t xml:space="preserve">Low</t>
  </si>
  <si>
    <t xml:space="preserve">Automated SMS/WhatsApp reminder</t>
  </si>
  <si>
    <t xml:space="preserve">BFL DMS (Consumer) — Monthly Performance Dashboard</t>
  </si>
  <si>
    <t xml:space="preserve">Period: Apr–Sep 2026 (H1 FY2026-27) | West Zone | Targets: Collection Efficiency 97.5% · GNPA ceiling 1.50% · Conduct complaints ≤ 15/month | Synthetic training data</t>
  </si>
  <si>
    <t xml:space="preserve">Month</t>
  </si>
  <si>
    <t xml:space="preserve">EMI Demand (₹ Cr)</t>
  </si>
  <si>
    <t xml:space="preserve">Amount Collected (₹ Cr)</t>
  </si>
  <si>
    <t xml:space="preserve">Collection Efficiency %</t>
  </si>
  <si>
    <t xml:space="preserve">NACH Bounce Rate %</t>
  </si>
  <si>
    <t xml:space="preserve">Bucket-1 Resolution %</t>
  </si>
  <si>
    <t xml:space="preserve">PTP Count</t>
  </si>
  <si>
    <t xml:space="preserve">PTP Kept %</t>
  </si>
  <si>
    <t xml:space="preserve">Accounts Escalated</t>
  </si>
  <si>
    <t xml:space="preserve">Field Visits</t>
  </si>
  <si>
    <t xml:space="preserve">Conduct Complaints</t>
  </si>
  <si>
    <t xml:space="preserve">GNPA %</t>
  </si>
  <si>
    <t xml:space="preserve">New Delinquencies</t>
  </si>
  <si>
    <t xml:space="preserve">Apr 2026</t>
  </si>
  <si>
    <t xml:space="preserve">May 2026</t>
  </si>
  <si>
    <t xml:space="preserve">Jun 2026</t>
  </si>
  <si>
    <t xml:space="preserve">Jul 2026</t>
  </si>
  <si>
    <t xml:space="preserve">Aug 2026</t>
  </si>
  <si>
    <t xml:space="preserve">Sep 2026</t>
  </si>
  <si>
    <t xml:space="preserve">H1 Avg</t>
  </si>
  <si>
    <t xml:space="preserve">BFL DMS (Consumer) — Bucket Trend &amp; Roll-forward Analysis</t>
  </si>
  <si>
    <t xml:space="preserve">Period: Jul–Sep 2026 | West Zone | Roll-forward = share of accounts moving to a higher DPD bucket in the month | Synthetic training data</t>
  </si>
  <si>
    <t xml:space="preserve">1–30 DPD Count</t>
  </si>
  <si>
    <t xml:space="preserve">1–30 DPD (₹ Cr)</t>
  </si>
  <si>
    <t xml:space="preserve">31–60 DPD Count</t>
  </si>
  <si>
    <t xml:space="preserve">31–60 DPD (₹ Cr)</t>
  </si>
  <si>
    <t xml:space="preserve">61–90 DPD Count</t>
  </si>
  <si>
    <t xml:space="preserve">61–90 DPD (₹ Cr)</t>
  </si>
  <si>
    <t xml:space="preserve">90+ DPD Count</t>
  </si>
  <si>
    <t xml:space="preserve">90+ DPD (₹ Cr)</t>
  </si>
  <si>
    <t xml:space="preserve">Roll-forward Rate %</t>
  </si>
  <si>
    <t xml:space="preserve">Resolution Rate %</t>
  </si>
  <si>
    <t xml:space="preserve">BFL DMS (Consumer) — Recovery Strategy &amp; Action Tracker</t>
  </si>
  <si>
    <t xml:space="preserve">Period: Sep 2026 | West Zone | Status rule: gap ≤ 1 On Track · ≤ 3 Monitoring · ≤ 6 Attention · &gt; 6 At Risk | Synthetic training data</t>
  </si>
  <si>
    <t xml:space="preserve">Segment</t>
  </si>
  <si>
    <t xml:space="preserve">DPD Range</t>
  </si>
  <si>
    <t xml:space="preserve">Account Count</t>
  </si>
  <si>
    <t xml:space="preserve">Overdue O/S (₹ Cr)</t>
  </si>
  <si>
    <t xml:space="preserve">Recommended Strategy</t>
  </si>
  <si>
    <t xml:space="preserve">Channel</t>
  </si>
  <si>
    <t xml:space="preserve">Responsible Team</t>
  </si>
  <si>
    <t xml:space="preserve">Target Resolution %</t>
  </si>
  <si>
    <t xml:space="preserve">Actual Resolution %</t>
  </si>
  <si>
    <t xml:space="preserve">Gap (pts)</t>
  </si>
  <si>
    <t xml:space="preserve">Status</t>
  </si>
  <si>
    <t xml:space="preserve">Next Review</t>
  </si>
  <si>
    <t xml:space="preserve">NACH Bounce — Bucket X</t>
  </si>
  <si>
    <t xml:space="preserve">1–30</t>
  </si>
  <si>
    <t xml:space="preserve">Payment link + WhatsApp within 24h of bounce</t>
  </si>
  <si>
    <t xml:space="preserve">Digital (SMS/WA/IVR)</t>
  </si>
  <si>
    <t xml:space="preserve">Digital Collections</t>
  </si>
  <si>
    <t xml:space="preserve">On Track</t>
  </si>
  <si>
    <t xml:space="preserve">Early Delinquent</t>
  </si>
  <si>
    <t xml:space="preserve">31–60</t>
  </si>
  <si>
    <t xml:space="preserve">Tele-calling with meta-prompted call script + PTP offer</t>
  </si>
  <si>
    <t xml:space="preserve">Tele-calling</t>
  </si>
  <si>
    <t xml:space="preserve">Tele-collections</t>
  </si>
  <si>
    <t xml:space="preserve">Monitoring</t>
  </si>
  <si>
    <t xml:space="preserve">Mid Delinquent</t>
  </si>
  <si>
    <t xml:space="preserve">61–90</t>
  </si>
  <si>
    <t xml:space="preserve">Field agency visit + restructure eligibility check</t>
  </si>
  <si>
    <t xml:space="preserve">Field Agency</t>
  </si>
  <si>
    <t xml:space="preserve">Agency Management</t>
  </si>
  <si>
    <t xml:space="preserve">Attention</t>
  </si>
  <si>
    <t xml:space="preserve">Severely Overdue</t>
  </si>
  <si>
    <t xml:space="preserve">91–180</t>
  </si>
  <si>
    <t xml:space="preserve">Legal notice + senior collector ownership</t>
  </si>
  <si>
    <t xml:space="preserve">Legal + Field</t>
  </si>
  <si>
    <t xml:space="preserve">Legal &amp; Recovery</t>
  </si>
  <si>
    <t xml:space="preserve">At Risk</t>
  </si>
  <si>
    <t xml:space="preserve">Settlement Pool</t>
  </si>
  <si>
    <t xml:space="preserve">180+</t>
  </si>
  <si>
    <t xml:space="preserve">One-time settlement per authority matrix</t>
  </si>
  <si>
    <t xml:space="preserve">Legal</t>
  </si>
  <si>
    <t xml:space="preserve">Settlement Desk</t>
  </si>
  <si>
    <t xml:space="preserve">PTP Monitoring</t>
  </si>
  <si>
    <t xml:space="preserve">All DPDs</t>
  </si>
  <si>
    <t xml:space="preserve">Daily PTP tracking + same-day reminder</t>
  </si>
  <si>
    <t xml:space="preserve">Digital + Tele</t>
  </si>
  <si>
    <t xml:space="preserve">PTP Desk</t>
  </si>
  <si>
    <t xml:space="preserve">Escalate to senior collector within 24h</t>
  </si>
  <si>
    <t xml:space="preserve">Tele + Field</t>
  </si>
  <si>
    <t xml:space="preserve">Senior Collectors</t>
  </si>
  <si>
    <t xml:space="preserve">Consumer Durable — Dealer Dispute</t>
  </si>
  <si>
    <t xml:space="preserve">Dealer/OEM coordination via Dispute Desk</t>
  </si>
  <si>
    <t xml:space="preserve">Dealer + Branch</t>
  </si>
  <si>
    <t xml:space="preserve">Dispute Desk</t>
  </si>
  <si>
    <t xml:space="preserve">Personal Loan — Hardship</t>
  </si>
  <si>
    <t xml:space="preserve">31–90</t>
  </si>
  <si>
    <t xml:space="preserve">Cash-flow check + EMI restructure offer</t>
  </si>
  <si>
    <t xml:space="preserve">Branch + RM</t>
  </si>
  <si>
    <t xml:space="preserve">Relationship Managers</t>
  </si>
  <si>
    <t xml:space="preserve">Skip / Untraceable</t>
  </si>
  <si>
    <t xml:space="preserve">61+</t>
  </si>
  <si>
    <t xml:space="preserve">Skip-tracing via references + digital footprint</t>
  </si>
  <si>
    <t xml:space="preserve">Skip-Tracing Cell</t>
  </si>
  <si>
    <t xml:space="preserve">BFL DMS (Consumer) — Collection Agency &amp; Conduct Tracker</t>
  </si>
  <si>
    <t xml:space="preserve">Period: Sep 2026 | West Zone | Agency names are fictional | Audit Status: ≥ 80 Satisfactory · 70–79 Improvement Plan · &lt; 70 Suspend Allocation | Synthetic training data</t>
  </si>
  <si>
    <t xml:space="preserve">Agency</t>
  </si>
  <si>
    <t xml:space="preserve">Zone</t>
  </si>
  <si>
    <t xml:space="preserve">Accounts Allocated</t>
  </si>
  <si>
    <t xml:space="preserve">Accounts Resolved</t>
  </si>
  <si>
    <t xml:space="preserve">Resolution %</t>
  </si>
  <si>
    <t xml:space="preserve">Agents Deployed</t>
  </si>
  <si>
    <t xml:space="preserve">Agents DRA-Certified</t>
  </si>
  <si>
    <t xml:space="preserve">Certified %</t>
  </si>
  <si>
    <t xml:space="preserve">Calls Outside 08:00–19:00</t>
  </si>
  <si>
    <t xml:space="preserve">Customer Complaints</t>
  </si>
  <si>
    <t xml:space="preserve">Complaints per 1,000</t>
  </si>
  <si>
    <t xml:space="preserve">Audit Score (/100)</t>
  </si>
  <si>
    <t xml:space="preserve">Audit Status</t>
  </si>
  <si>
    <t xml:space="preserve">Contract Renewal</t>
  </si>
  <si>
    <t xml:space="preserve">Pune</t>
  </si>
  <si>
    <t xml:space="preserve">Satisfactory</t>
  </si>
  <si>
    <t xml:space="preserve">Mumbai</t>
  </si>
  <si>
    <t xml:space="preserve">Improvement Plan</t>
  </si>
  <si>
    <t xml:space="preserve">Vidarbha Field Solutions</t>
  </si>
  <si>
    <t xml:space="preserve">Nagpur</t>
  </si>
  <si>
    <t xml:space="preserve">Nashik</t>
  </si>
  <si>
    <t xml:space="preserve">All zones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</si>
</sst>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d\ mmm\ yyyy"/>
    <numFmt numFmtId="166" formatCode="#,##0"/>
    <numFmt numFmtId="167" formatCode="#,##0.0"/>
    <numFmt numFmtId="168" formatCode="0.0"/>
    <numFmt numFmtId="169" formatCode="0"/>
    <numFmt numFmtId="170" formatCode="0.0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sz val="9"/>
      <color rgb="FF64748B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B3A6B"/>
        <bgColor rgb="FF333399"/>
      </patternFill>
    </fill>
    <fill>
      <patternFill patternType="solid">
        <fgColor rgb="FFF8FAF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8FAFC"/>
      <rgbColor rgb="FFE2E8F0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4748B"/>
      <rgbColor rgb="FF969696"/>
      <rgbColor rgb="FF1B3A6B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3"/>
    <col collapsed="false" customWidth="true" hidden="false" outlineLevel="0" max="3" min="3" style="0" width="9"/>
    <col collapsed="false" customWidth="true" hidden="false" outlineLevel="0" max="4" min="4" style="0" width="18"/>
    <col collapsed="false" customWidth="true" hidden="false" outlineLevel="0" max="5" min="5" style="0" width="15"/>
    <col collapsed="false" customWidth="true" hidden="false" outlineLevel="0" max="6" min="6" style="0" width="17"/>
    <col collapsed="false" customWidth="true" hidden="false" outlineLevel="0" max="7" min="7" style="0" width="6"/>
    <col collapsed="false" customWidth="true" hidden="false" outlineLevel="0" max="8" min="8" style="0" width="15"/>
    <col collapsed="false" customWidth="true" hidden="false" outlineLevel="0" max="9" min="9" style="0" width="22"/>
    <col collapsed="false" customWidth="true" hidden="false" outlineLevel="0" max="10" min="10" style="0" width="24"/>
    <col collapsed="false" customWidth="true" hidden="false" outlineLevel="0" max="11" min="11" style="0" width="17"/>
    <col collapsed="false" customWidth="true" hidden="false" outlineLevel="0" max="12" min="12" style="0" width="13"/>
    <col collapsed="false" customWidth="true" hidden="false" outlineLevel="0" max="13" min="13" style="0" width="14"/>
    <col collapsed="false" customWidth="true" hidden="false" outlineLevel="0" max="14" min="14" style="0" width="52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4" customFormat="false" ht="30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</row>
    <row r="5" customFormat="false" ht="15" hidden="false" customHeight="false" outlineLevel="0" collapsed="false">
      <c r="A5" s="4" t="s">
        <v>16</v>
      </c>
      <c r="B5" s="5" t="n">
        <v>46295</v>
      </c>
      <c r="C5" s="4" t="s">
        <v>17</v>
      </c>
      <c r="D5" s="4" t="s">
        <v>18</v>
      </c>
      <c r="E5" s="4" t="s">
        <v>19</v>
      </c>
      <c r="F5" s="4" t="s">
        <v>20</v>
      </c>
      <c r="G5" s="4" t="n">
        <v>42</v>
      </c>
      <c r="H5" s="6" t="n">
        <v>12990</v>
      </c>
      <c r="I5" s="4" t="s">
        <v>21</v>
      </c>
      <c r="J5" s="4" t="s">
        <v>22</v>
      </c>
      <c r="K5" s="4" t="s">
        <v>23</v>
      </c>
      <c r="L5" s="5" t="n">
        <v>46300</v>
      </c>
      <c r="M5" s="6" t="n">
        <v>12990</v>
      </c>
      <c r="N5" s="4" t="s">
        <v>24</v>
      </c>
    </row>
    <row r="6" customFormat="false" ht="15" hidden="false" customHeight="false" outlineLevel="0" collapsed="false">
      <c r="A6" s="7" t="s">
        <v>25</v>
      </c>
      <c r="B6" s="8" t="n">
        <v>46295</v>
      </c>
      <c r="C6" s="7" t="s">
        <v>26</v>
      </c>
      <c r="D6" s="7" t="s">
        <v>27</v>
      </c>
      <c r="E6" s="7" t="s">
        <v>28</v>
      </c>
      <c r="F6" s="7" t="s">
        <v>29</v>
      </c>
      <c r="G6" s="7" t="n">
        <v>88</v>
      </c>
      <c r="H6" s="9" t="n">
        <v>7940</v>
      </c>
      <c r="I6" s="7" t="s">
        <v>30</v>
      </c>
      <c r="J6" s="7" t="s">
        <v>31</v>
      </c>
      <c r="K6" s="7" t="s">
        <v>32</v>
      </c>
      <c r="L6" s="8"/>
      <c r="M6" s="9"/>
      <c r="N6" s="7" t="s">
        <v>33</v>
      </c>
    </row>
    <row r="7" customFormat="false" ht="15" hidden="false" customHeight="false" outlineLevel="0" collapsed="false">
      <c r="A7" s="4" t="s">
        <v>34</v>
      </c>
      <c r="B7" s="5" t="n">
        <v>46294</v>
      </c>
      <c r="C7" s="4" t="s">
        <v>35</v>
      </c>
      <c r="D7" s="4" t="s">
        <v>36</v>
      </c>
      <c r="E7" s="4" t="s">
        <v>37</v>
      </c>
      <c r="F7" s="4" t="s">
        <v>38</v>
      </c>
      <c r="G7" s="4" t="n">
        <v>35</v>
      </c>
      <c r="H7" s="6" t="n">
        <v>6790</v>
      </c>
      <c r="I7" s="4" t="s">
        <v>21</v>
      </c>
      <c r="J7" s="4" t="s">
        <v>39</v>
      </c>
      <c r="K7" s="4" t="s">
        <v>23</v>
      </c>
      <c r="L7" s="5" t="n">
        <v>46298</v>
      </c>
      <c r="M7" s="6" t="n">
        <v>6790</v>
      </c>
      <c r="N7" s="4" t="s">
        <v>40</v>
      </c>
    </row>
    <row r="8" customFormat="false" ht="15" hidden="false" customHeight="false" outlineLevel="0" collapsed="false">
      <c r="A8" s="7" t="s">
        <v>41</v>
      </c>
      <c r="B8" s="8" t="n">
        <v>46294</v>
      </c>
      <c r="C8" s="7" t="s">
        <v>42</v>
      </c>
      <c r="D8" s="7" t="s">
        <v>43</v>
      </c>
      <c r="E8" s="7" t="s">
        <v>44</v>
      </c>
      <c r="F8" s="7" t="s">
        <v>45</v>
      </c>
      <c r="G8" s="7" t="n">
        <v>61</v>
      </c>
      <c r="H8" s="9" t="n">
        <v>9290</v>
      </c>
      <c r="I8" s="7" t="s">
        <v>21</v>
      </c>
      <c r="J8" s="7" t="s">
        <v>46</v>
      </c>
      <c r="K8" s="7" t="s">
        <v>47</v>
      </c>
      <c r="L8" s="8"/>
      <c r="M8" s="9"/>
      <c r="N8" s="7" t="s">
        <v>48</v>
      </c>
    </row>
    <row r="9" customFormat="false" ht="15" hidden="false" customHeight="false" outlineLevel="0" collapsed="false">
      <c r="A9" s="4" t="s">
        <v>49</v>
      </c>
      <c r="B9" s="5" t="n">
        <v>46293</v>
      </c>
      <c r="C9" s="4" t="s">
        <v>50</v>
      </c>
      <c r="D9" s="4" t="s">
        <v>51</v>
      </c>
      <c r="E9" s="4" t="s">
        <v>52</v>
      </c>
      <c r="F9" s="4" t="s">
        <v>53</v>
      </c>
      <c r="G9" s="4" t="n">
        <v>74</v>
      </c>
      <c r="H9" s="6" t="n">
        <v>14990</v>
      </c>
      <c r="I9" s="4" t="s">
        <v>54</v>
      </c>
      <c r="J9" s="4" t="s">
        <v>55</v>
      </c>
      <c r="K9" s="4" t="s">
        <v>56</v>
      </c>
      <c r="L9" s="5" t="n">
        <v>46296</v>
      </c>
      <c r="M9" s="6" t="n">
        <v>5000</v>
      </c>
      <c r="N9" s="4" t="s">
        <v>57</v>
      </c>
    </row>
    <row r="10" customFormat="false" ht="15" hidden="false" customHeight="false" outlineLevel="0" collapsed="false">
      <c r="A10" s="7" t="s">
        <v>58</v>
      </c>
      <c r="B10" s="8" t="n">
        <v>46293</v>
      </c>
      <c r="C10" s="7" t="s">
        <v>59</v>
      </c>
      <c r="D10" s="7" t="s">
        <v>60</v>
      </c>
      <c r="E10" s="7" t="s">
        <v>61</v>
      </c>
      <c r="F10" s="7" t="s">
        <v>29</v>
      </c>
      <c r="G10" s="7" t="n">
        <v>94</v>
      </c>
      <c r="H10" s="9" t="n">
        <v>8390</v>
      </c>
      <c r="I10" s="7" t="s">
        <v>62</v>
      </c>
      <c r="J10" s="7" t="s">
        <v>31</v>
      </c>
      <c r="K10" s="7" t="s">
        <v>63</v>
      </c>
      <c r="L10" s="8"/>
      <c r="M10" s="9"/>
      <c r="N10" s="7" t="s">
        <v>64</v>
      </c>
    </row>
    <row r="11" customFormat="false" ht="15" hidden="false" customHeight="false" outlineLevel="0" collapsed="false">
      <c r="A11" s="4" t="s">
        <v>65</v>
      </c>
      <c r="B11" s="5" t="n">
        <v>46292</v>
      </c>
      <c r="C11" s="4" t="s">
        <v>66</v>
      </c>
      <c r="D11" s="4" t="s">
        <v>67</v>
      </c>
      <c r="E11" s="4" t="s">
        <v>68</v>
      </c>
      <c r="F11" s="4" t="s">
        <v>20</v>
      </c>
      <c r="G11" s="4" t="n">
        <v>102</v>
      </c>
      <c r="H11" s="6" t="n">
        <v>39790</v>
      </c>
      <c r="I11" s="4" t="s">
        <v>21</v>
      </c>
      <c r="J11" s="4" t="s">
        <v>22</v>
      </c>
      <c r="K11" s="4" t="s">
        <v>32</v>
      </c>
      <c r="L11" s="5"/>
      <c r="M11" s="6"/>
      <c r="N11" s="4" t="s">
        <v>69</v>
      </c>
    </row>
    <row r="12" customFormat="false" ht="15" hidden="false" customHeight="false" outlineLevel="0" collapsed="false">
      <c r="A12" s="7" t="s">
        <v>70</v>
      </c>
      <c r="B12" s="8" t="n">
        <v>46292</v>
      </c>
      <c r="C12" s="7" t="s">
        <v>71</v>
      </c>
      <c r="D12" s="7" t="s">
        <v>72</v>
      </c>
      <c r="E12" s="7" t="s">
        <v>73</v>
      </c>
      <c r="F12" s="7" t="s">
        <v>38</v>
      </c>
      <c r="G12" s="7" t="n">
        <v>76</v>
      </c>
      <c r="H12" s="9" t="n">
        <v>11390</v>
      </c>
      <c r="I12" s="7" t="s">
        <v>21</v>
      </c>
      <c r="J12" s="7" t="s">
        <v>74</v>
      </c>
      <c r="K12" s="7" t="s">
        <v>23</v>
      </c>
      <c r="L12" s="8" t="n">
        <v>46299</v>
      </c>
      <c r="M12" s="9" t="n">
        <v>11390</v>
      </c>
      <c r="N12" s="7" t="s">
        <v>75</v>
      </c>
    </row>
    <row r="13" customFormat="false" ht="15" hidden="false" customHeight="false" outlineLevel="0" collapsed="false">
      <c r="A13" s="4" t="s">
        <v>76</v>
      </c>
      <c r="B13" s="5" t="n">
        <v>46291</v>
      </c>
      <c r="C13" s="4" t="s">
        <v>77</v>
      </c>
      <c r="D13" s="4" t="s">
        <v>78</v>
      </c>
      <c r="E13" s="4" t="s">
        <v>79</v>
      </c>
      <c r="F13" s="4" t="s">
        <v>45</v>
      </c>
      <c r="G13" s="4" t="n">
        <v>72</v>
      </c>
      <c r="H13" s="6" t="n">
        <v>10490</v>
      </c>
      <c r="I13" s="4" t="s">
        <v>21</v>
      </c>
      <c r="J13" s="4" t="s">
        <v>80</v>
      </c>
      <c r="K13" s="4" t="s">
        <v>23</v>
      </c>
      <c r="L13" s="5" t="n">
        <v>46297</v>
      </c>
      <c r="M13" s="6" t="n">
        <v>10490</v>
      </c>
      <c r="N13" s="4" t="s">
        <v>81</v>
      </c>
    </row>
    <row r="14" customFormat="false" ht="15" hidden="false" customHeight="false" outlineLevel="0" collapsed="false">
      <c r="A14" s="7" t="s">
        <v>82</v>
      </c>
      <c r="B14" s="8" t="n">
        <v>46291</v>
      </c>
      <c r="C14" s="7" t="s">
        <v>83</v>
      </c>
      <c r="D14" s="7" t="s">
        <v>84</v>
      </c>
      <c r="E14" s="7" t="s">
        <v>85</v>
      </c>
      <c r="F14" s="7" t="s">
        <v>20</v>
      </c>
      <c r="G14" s="7" t="n">
        <v>65</v>
      </c>
      <c r="H14" s="9" t="n">
        <v>25190</v>
      </c>
      <c r="I14" s="7" t="s">
        <v>21</v>
      </c>
      <c r="J14" s="7" t="s">
        <v>86</v>
      </c>
      <c r="K14" s="7" t="s">
        <v>87</v>
      </c>
      <c r="L14" s="8"/>
      <c r="M14" s="9"/>
      <c r="N14" s="7" t="s">
        <v>88</v>
      </c>
    </row>
    <row r="15" customFormat="false" ht="15" hidden="false" customHeight="false" outlineLevel="0" collapsed="false">
      <c r="A15" s="4" t="s">
        <v>89</v>
      </c>
      <c r="B15" s="5" t="n">
        <v>46290</v>
      </c>
      <c r="C15" s="4" t="s">
        <v>90</v>
      </c>
      <c r="D15" s="4" t="s">
        <v>91</v>
      </c>
      <c r="E15" s="4" t="s">
        <v>92</v>
      </c>
      <c r="F15" s="4" t="s">
        <v>53</v>
      </c>
      <c r="G15" s="4" t="n">
        <v>55</v>
      </c>
      <c r="H15" s="6" t="n">
        <v>11790</v>
      </c>
      <c r="I15" s="4" t="s">
        <v>21</v>
      </c>
      <c r="J15" s="4" t="s">
        <v>55</v>
      </c>
      <c r="K15" s="4" t="s">
        <v>23</v>
      </c>
      <c r="L15" s="5" t="n">
        <v>46298</v>
      </c>
      <c r="M15" s="6" t="n">
        <v>11790</v>
      </c>
      <c r="N15" s="4" t="s">
        <v>93</v>
      </c>
    </row>
    <row r="16" customFormat="false" ht="15" hidden="false" customHeight="false" outlineLevel="0" collapsed="false">
      <c r="A16" s="7" t="s">
        <v>94</v>
      </c>
      <c r="B16" s="8" t="n">
        <v>46290</v>
      </c>
      <c r="C16" s="7" t="s">
        <v>95</v>
      </c>
      <c r="D16" s="7" t="s">
        <v>96</v>
      </c>
      <c r="E16" s="7" t="s">
        <v>97</v>
      </c>
      <c r="F16" s="7" t="s">
        <v>38</v>
      </c>
      <c r="G16" s="7" t="n">
        <v>48</v>
      </c>
      <c r="H16" s="9" t="n">
        <v>8990</v>
      </c>
      <c r="I16" s="7" t="s">
        <v>98</v>
      </c>
      <c r="J16" s="7" t="s">
        <v>39</v>
      </c>
      <c r="K16" s="7" t="s">
        <v>99</v>
      </c>
      <c r="L16" s="8"/>
      <c r="M16" s="9"/>
      <c r="N16" s="7" t="s">
        <v>100</v>
      </c>
    </row>
    <row r="17" customFormat="false" ht="15" hidden="false" customHeight="false" outlineLevel="0" collapsed="false">
      <c r="A17" s="4" t="s">
        <v>101</v>
      </c>
      <c r="B17" s="5" t="n">
        <v>46289</v>
      </c>
      <c r="C17" s="4" t="s">
        <v>102</v>
      </c>
      <c r="D17" s="4" t="s">
        <v>103</v>
      </c>
      <c r="E17" s="4" t="s">
        <v>104</v>
      </c>
      <c r="F17" s="4" t="s">
        <v>29</v>
      </c>
      <c r="G17" s="4" t="n">
        <v>42</v>
      </c>
      <c r="H17" s="6" t="n">
        <v>4790</v>
      </c>
      <c r="I17" s="4" t="s">
        <v>21</v>
      </c>
      <c r="J17" s="4" t="s">
        <v>31</v>
      </c>
      <c r="K17" s="4" t="s">
        <v>23</v>
      </c>
      <c r="L17" s="5" t="n">
        <v>46293</v>
      </c>
      <c r="M17" s="6" t="n">
        <v>4790</v>
      </c>
      <c r="N17" s="4" t="s">
        <v>105</v>
      </c>
    </row>
    <row r="18" customFormat="false" ht="15" hidden="false" customHeight="false" outlineLevel="0" collapsed="false">
      <c r="A18" s="7" t="s">
        <v>106</v>
      </c>
      <c r="B18" s="8" t="n">
        <v>46289</v>
      </c>
      <c r="C18" s="7" t="s">
        <v>107</v>
      </c>
      <c r="D18" s="7" t="s">
        <v>108</v>
      </c>
      <c r="E18" s="7" t="s">
        <v>109</v>
      </c>
      <c r="F18" s="7" t="s">
        <v>45</v>
      </c>
      <c r="G18" s="7" t="n">
        <v>38</v>
      </c>
      <c r="H18" s="9" t="n">
        <v>5990</v>
      </c>
      <c r="I18" s="7" t="s">
        <v>21</v>
      </c>
      <c r="J18" s="7" t="s">
        <v>80</v>
      </c>
      <c r="K18" s="7" t="s">
        <v>23</v>
      </c>
      <c r="L18" s="8" t="n">
        <v>46292</v>
      </c>
      <c r="M18" s="9" t="n">
        <v>5990</v>
      </c>
      <c r="N18" s="7" t="s">
        <v>110</v>
      </c>
    </row>
    <row r="19" customFormat="false" ht="15" hidden="false" customHeight="false" outlineLevel="0" collapsed="false">
      <c r="A19" s="4" t="s">
        <v>111</v>
      </c>
      <c r="B19" s="5" t="n">
        <v>46288</v>
      </c>
      <c r="C19" s="4" t="s">
        <v>112</v>
      </c>
      <c r="D19" s="4" t="s">
        <v>113</v>
      </c>
      <c r="E19" s="4" t="s">
        <v>114</v>
      </c>
      <c r="F19" s="4" t="s">
        <v>20</v>
      </c>
      <c r="G19" s="4" t="n">
        <v>91</v>
      </c>
      <c r="H19" s="6" t="n">
        <v>46590</v>
      </c>
      <c r="I19" s="4" t="s">
        <v>62</v>
      </c>
      <c r="J19" s="4" t="s">
        <v>22</v>
      </c>
      <c r="K19" s="4" t="s">
        <v>32</v>
      </c>
      <c r="L19" s="5"/>
      <c r="M19" s="6"/>
      <c r="N19" s="4" t="s">
        <v>115</v>
      </c>
    </row>
    <row r="20" customFormat="false" ht="15" hidden="false" customHeight="false" outlineLevel="0" collapsed="false">
      <c r="A20" s="7" t="s">
        <v>116</v>
      </c>
      <c r="B20" s="8" t="n">
        <v>46288</v>
      </c>
      <c r="C20" s="7" t="s">
        <v>117</v>
      </c>
      <c r="D20" s="7" t="s">
        <v>118</v>
      </c>
      <c r="E20" s="7" t="s">
        <v>119</v>
      </c>
      <c r="F20" s="7" t="s">
        <v>53</v>
      </c>
      <c r="G20" s="7" t="n">
        <v>85</v>
      </c>
      <c r="H20" s="9" t="n">
        <v>21290</v>
      </c>
      <c r="I20" s="7" t="s">
        <v>21</v>
      </c>
      <c r="J20" s="7" t="s">
        <v>55</v>
      </c>
      <c r="K20" s="7" t="s">
        <v>56</v>
      </c>
      <c r="L20" s="8" t="n">
        <v>46295</v>
      </c>
      <c r="M20" s="9" t="n">
        <v>10000</v>
      </c>
      <c r="N20" s="7" t="s">
        <v>120</v>
      </c>
    </row>
    <row r="21" customFormat="false" ht="15" hidden="false" customHeight="false" outlineLevel="0" collapsed="false">
      <c r="A21" s="4" t="s">
        <v>121</v>
      </c>
      <c r="B21" s="5" t="n">
        <v>46287</v>
      </c>
      <c r="C21" s="4" t="s">
        <v>122</v>
      </c>
      <c r="D21" s="4" t="s">
        <v>123</v>
      </c>
      <c r="E21" s="4" t="s">
        <v>124</v>
      </c>
      <c r="F21" s="4" t="s">
        <v>29</v>
      </c>
      <c r="G21" s="4" t="n">
        <v>18</v>
      </c>
      <c r="H21" s="6" t="n">
        <v>2390</v>
      </c>
      <c r="I21" s="4" t="s">
        <v>21</v>
      </c>
      <c r="J21" s="4" t="s">
        <v>31</v>
      </c>
      <c r="K21" s="4" t="s">
        <v>23</v>
      </c>
      <c r="L21" s="5" t="n">
        <v>46291</v>
      </c>
      <c r="M21" s="6" t="n">
        <v>2390</v>
      </c>
      <c r="N21" s="4" t="s">
        <v>125</v>
      </c>
    </row>
    <row r="22" customFormat="false" ht="15" hidden="false" customHeight="false" outlineLevel="0" collapsed="false">
      <c r="A22" s="7" t="s">
        <v>126</v>
      </c>
      <c r="B22" s="8" t="n">
        <v>46287</v>
      </c>
      <c r="C22" s="7" t="s">
        <v>127</v>
      </c>
      <c r="D22" s="7" t="s">
        <v>128</v>
      </c>
      <c r="E22" s="7" t="s">
        <v>129</v>
      </c>
      <c r="F22" s="7" t="s">
        <v>38</v>
      </c>
      <c r="G22" s="7" t="n">
        <v>54</v>
      </c>
      <c r="H22" s="9" t="n">
        <v>8190</v>
      </c>
      <c r="I22" s="7" t="s">
        <v>21</v>
      </c>
      <c r="J22" s="7" t="s">
        <v>130</v>
      </c>
      <c r="K22" s="7" t="s">
        <v>47</v>
      </c>
      <c r="L22" s="8"/>
      <c r="M22" s="9"/>
      <c r="N22" s="7" t="s">
        <v>131</v>
      </c>
    </row>
    <row r="23" customFormat="false" ht="15" hidden="false" customHeight="false" outlineLevel="0" collapsed="false">
      <c r="A23" s="4" t="s">
        <v>132</v>
      </c>
      <c r="B23" s="5" t="n">
        <v>46286</v>
      </c>
      <c r="C23" s="4" t="s">
        <v>133</v>
      </c>
      <c r="D23" s="4" t="s">
        <v>134</v>
      </c>
      <c r="E23" s="4" t="s">
        <v>135</v>
      </c>
      <c r="F23" s="4" t="s">
        <v>53</v>
      </c>
      <c r="G23" s="4" t="n">
        <v>67</v>
      </c>
      <c r="H23" s="6" t="n">
        <v>16190</v>
      </c>
      <c r="I23" s="4" t="s">
        <v>54</v>
      </c>
      <c r="J23" s="4" t="s">
        <v>55</v>
      </c>
      <c r="K23" s="4" t="s">
        <v>56</v>
      </c>
      <c r="L23" s="5" t="n">
        <v>46290</v>
      </c>
      <c r="M23" s="6" t="n">
        <v>5000</v>
      </c>
      <c r="N23" s="4" t="s">
        <v>136</v>
      </c>
    </row>
    <row r="24" customFormat="false" ht="15" hidden="false" customHeight="false" outlineLevel="0" collapsed="false">
      <c r="A24" s="7" t="s">
        <v>137</v>
      </c>
      <c r="B24" s="8" t="n">
        <v>46286</v>
      </c>
      <c r="C24" s="7" t="s">
        <v>138</v>
      </c>
      <c r="D24" s="7" t="s">
        <v>139</v>
      </c>
      <c r="E24" s="7" t="s">
        <v>140</v>
      </c>
      <c r="F24" s="7" t="s">
        <v>45</v>
      </c>
      <c r="G24" s="7" t="n">
        <v>12</v>
      </c>
      <c r="H24" s="9" t="n">
        <v>3090</v>
      </c>
      <c r="I24" s="7" t="s">
        <v>21</v>
      </c>
      <c r="J24" s="7" t="s">
        <v>80</v>
      </c>
      <c r="K24" s="7" t="s">
        <v>23</v>
      </c>
      <c r="L24" s="8" t="n">
        <v>46289</v>
      </c>
      <c r="M24" s="9" t="n">
        <v>3090</v>
      </c>
      <c r="N24" s="7" t="s">
        <v>141</v>
      </c>
    </row>
  </sheetData>
  <mergeCells count="2">
    <mergeCell ref="A1:N1"/>
    <mergeCell ref="A2:N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18"/>
    <col collapsed="false" customWidth="true" hidden="false" outlineLevel="0" max="3" min="3" style="0" width="17"/>
    <col collapsed="false" customWidth="true" hidden="false" outlineLevel="0" max="4" min="4" style="0" width="12"/>
    <col collapsed="false" customWidth="true" hidden="false" outlineLevel="0" max="5" min="5" style="0" width="6"/>
    <col collapsed="false" customWidth="true" hidden="false" outlineLevel="0" max="6" min="6" style="0" width="15"/>
    <col collapsed="false" customWidth="true" hidden="false" outlineLevel="0" max="7" min="7" style="0" width="10"/>
    <col collapsed="false" customWidth="true" hidden="false" outlineLevel="0" max="8" min="8" style="0" width="11"/>
    <col collapsed="false" customWidth="true" hidden="false" outlineLevel="0" max="9" min="9" style="0" width="13"/>
    <col collapsed="false" customWidth="true" hidden="false" outlineLevel="0" max="10" min="10" style="0" width="15"/>
    <col collapsed="false" customWidth="true" hidden="false" outlineLevel="0" max="11" min="11" style="0" width="10"/>
    <col collapsed="false" customWidth="true" hidden="false" outlineLevel="0" max="12" min="12" style="0" width="44"/>
  </cols>
  <sheetData>
    <row r="1" customFormat="false" ht="27.75" hidden="false" customHeight="true" outlineLevel="0" collapsed="false">
      <c r="A1" s="1" t="s">
        <v>142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15" hidden="false" customHeight="false" outlineLevel="0" collapsed="false">
      <c r="A2" s="2" t="s">
        <v>143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customFormat="false" ht="30" hidden="false" customHeight="true" outlineLevel="0" collapsed="false">
      <c r="A4" s="3" t="s">
        <v>6</v>
      </c>
      <c r="B4" s="3" t="s">
        <v>5</v>
      </c>
      <c r="C4" s="3" t="s">
        <v>7</v>
      </c>
      <c r="D4" s="3" t="s">
        <v>144</v>
      </c>
      <c r="E4" s="3" t="s">
        <v>8</v>
      </c>
      <c r="F4" s="3" t="s">
        <v>9</v>
      </c>
      <c r="G4" s="3" t="s">
        <v>145</v>
      </c>
      <c r="H4" s="3" t="s">
        <v>146</v>
      </c>
      <c r="I4" s="3" t="s">
        <v>147</v>
      </c>
      <c r="J4" s="3" t="s">
        <v>148</v>
      </c>
      <c r="K4" s="3" t="s">
        <v>149</v>
      </c>
      <c r="L4" s="3" t="s">
        <v>150</v>
      </c>
    </row>
    <row r="5" customFormat="false" ht="15" hidden="false" customHeight="false" outlineLevel="0" collapsed="false">
      <c r="A5" s="4" t="s">
        <v>114</v>
      </c>
      <c r="B5" s="4" t="s">
        <v>113</v>
      </c>
      <c r="C5" s="4" t="s">
        <v>20</v>
      </c>
      <c r="D5" s="4" t="s">
        <v>151</v>
      </c>
      <c r="E5" s="4" t="n">
        <v>91</v>
      </c>
      <c r="F5" s="6" t="n">
        <v>46590</v>
      </c>
      <c r="G5" s="6" t="n">
        <f aca="false">ROUND(E5*F5/1000,0)</f>
        <v>4240</v>
      </c>
      <c r="H5" s="4" t="s">
        <v>152</v>
      </c>
      <c r="I5" s="5" t="n">
        <v>46288</v>
      </c>
      <c r="J5" s="4" t="s">
        <v>22</v>
      </c>
      <c r="K5" s="4" t="s">
        <v>153</v>
      </c>
      <c r="L5" s="4" t="s">
        <v>115</v>
      </c>
    </row>
    <row r="6" customFormat="false" ht="15" hidden="false" customHeight="false" outlineLevel="0" collapsed="false">
      <c r="A6" s="7" t="s">
        <v>68</v>
      </c>
      <c r="B6" s="7" t="s">
        <v>67</v>
      </c>
      <c r="C6" s="7" t="s">
        <v>20</v>
      </c>
      <c r="D6" s="7" t="s">
        <v>151</v>
      </c>
      <c r="E6" s="7" t="n">
        <v>102</v>
      </c>
      <c r="F6" s="9" t="n">
        <v>39790</v>
      </c>
      <c r="G6" s="9" t="n">
        <f aca="false">ROUND(E6*F6/1000,0)</f>
        <v>4059</v>
      </c>
      <c r="H6" s="7" t="s">
        <v>152</v>
      </c>
      <c r="I6" s="8" t="n">
        <v>46292</v>
      </c>
      <c r="J6" s="7" t="s">
        <v>22</v>
      </c>
      <c r="K6" s="7" t="s">
        <v>153</v>
      </c>
      <c r="L6" s="7" t="s">
        <v>69</v>
      </c>
    </row>
    <row r="7" customFormat="false" ht="15" hidden="false" customHeight="false" outlineLevel="0" collapsed="false">
      <c r="A7" s="4" t="s">
        <v>119</v>
      </c>
      <c r="B7" s="4" t="s">
        <v>118</v>
      </c>
      <c r="C7" s="4" t="s">
        <v>53</v>
      </c>
      <c r="D7" s="4" t="s">
        <v>154</v>
      </c>
      <c r="E7" s="4" t="n">
        <v>85</v>
      </c>
      <c r="F7" s="6" t="n">
        <v>21290</v>
      </c>
      <c r="G7" s="6" t="n">
        <f aca="false">ROUND(E7*F7/1000,0)</f>
        <v>1810</v>
      </c>
      <c r="H7" s="4" t="s">
        <v>155</v>
      </c>
      <c r="I7" s="5" t="n">
        <v>46288</v>
      </c>
      <c r="J7" s="4" t="s">
        <v>55</v>
      </c>
      <c r="K7" s="4" t="s">
        <v>153</v>
      </c>
      <c r="L7" s="4" t="s">
        <v>156</v>
      </c>
    </row>
    <row r="8" customFormat="false" ht="15" hidden="false" customHeight="false" outlineLevel="0" collapsed="false">
      <c r="A8" s="7" t="s">
        <v>85</v>
      </c>
      <c r="B8" s="7" t="s">
        <v>84</v>
      </c>
      <c r="C8" s="7" t="s">
        <v>20</v>
      </c>
      <c r="D8" s="7" t="s">
        <v>154</v>
      </c>
      <c r="E8" s="7" t="n">
        <v>65</v>
      </c>
      <c r="F8" s="9" t="n">
        <v>25190</v>
      </c>
      <c r="G8" s="9" t="n">
        <f aca="false">ROUND(E8*F8/1000,0)</f>
        <v>1637</v>
      </c>
      <c r="H8" s="7" t="s">
        <v>155</v>
      </c>
      <c r="I8" s="8" t="n">
        <v>46291</v>
      </c>
      <c r="J8" s="7" t="s">
        <v>22</v>
      </c>
      <c r="K8" s="7" t="s">
        <v>157</v>
      </c>
      <c r="L8" s="7" t="s">
        <v>88</v>
      </c>
    </row>
    <row r="9" customFormat="false" ht="15" hidden="false" customHeight="false" outlineLevel="0" collapsed="false">
      <c r="A9" s="4" t="s">
        <v>52</v>
      </c>
      <c r="B9" s="4" t="s">
        <v>51</v>
      </c>
      <c r="C9" s="4" t="s">
        <v>53</v>
      </c>
      <c r="D9" s="4" t="s">
        <v>154</v>
      </c>
      <c r="E9" s="4" t="n">
        <v>74</v>
      </c>
      <c r="F9" s="6" t="n">
        <v>14990</v>
      </c>
      <c r="G9" s="6" t="n">
        <f aca="false">ROUND(E9*F9/1000,0)</f>
        <v>1109</v>
      </c>
      <c r="H9" s="4" t="s">
        <v>155</v>
      </c>
      <c r="I9" s="5" t="n">
        <v>46293</v>
      </c>
      <c r="J9" s="4" t="s">
        <v>55</v>
      </c>
      <c r="K9" s="4" t="s">
        <v>157</v>
      </c>
      <c r="L9" s="4" t="s">
        <v>156</v>
      </c>
    </row>
    <row r="10" customFormat="false" ht="15" hidden="false" customHeight="false" outlineLevel="0" collapsed="false">
      <c r="A10" s="7" t="s">
        <v>135</v>
      </c>
      <c r="B10" s="7" t="s">
        <v>134</v>
      </c>
      <c r="C10" s="7" t="s">
        <v>53</v>
      </c>
      <c r="D10" s="7" t="s">
        <v>154</v>
      </c>
      <c r="E10" s="7" t="n">
        <v>67</v>
      </c>
      <c r="F10" s="9" t="n">
        <v>16190</v>
      </c>
      <c r="G10" s="9" t="n">
        <f aca="false">ROUND(E10*F10/1000,0)</f>
        <v>1085</v>
      </c>
      <c r="H10" s="7" t="s">
        <v>155</v>
      </c>
      <c r="I10" s="8" t="n">
        <v>46286</v>
      </c>
      <c r="J10" s="7" t="s">
        <v>55</v>
      </c>
      <c r="K10" s="7" t="s">
        <v>157</v>
      </c>
      <c r="L10" s="7" t="s">
        <v>156</v>
      </c>
    </row>
    <row r="11" customFormat="false" ht="15" hidden="false" customHeight="false" outlineLevel="0" collapsed="false">
      <c r="A11" s="4" t="s">
        <v>73</v>
      </c>
      <c r="B11" s="4" t="s">
        <v>72</v>
      </c>
      <c r="C11" s="4" t="s">
        <v>38</v>
      </c>
      <c r="D11" s="4" t="s">
        <v>154</v>
      </c>
      <c r="E11" s="4" t="n">
        <v>76</v>
      </c>
      <c r="F11" s="6" t="n">
        <v>11390</v>
      </c>
      <c r="G11" s="6" t="n">
        <f aca="false">ROUND(E11*F11/1000,0)</f>
        <v>866</v>
      </c>
      <c r="H11" s="4" t="s">
        <v>155</v>
      </c>
      <c r="I11" s="5" t="n">
        <v>46292</v>
      </c>
      <c r="J11" s="4" t="s">
        <v>39</v>
      </c>
      <c r="K11" s="4" t="s">
        <v>153</v>
      </c>
      <c r="L11" s="4" t="s">
        <v>156</v>
      </c>
    </row>
    <row r="12" customFormat="false" ht="15" hidden="false" customHeight="false" outlineLevel="0" collapsed="false">
      <c r="A12" s="7" t="s">
        <v>61</v>
      </c>
      <c r="B12" s="7" t="s">
        <v>60</v>
      </c>
      <c r="C12" s="7" t="s">
        <v>29</v>
      </c>
      <c r="D12" s="7" t="s">
        <v>151</v>
      </c>
      <c r="E12" s="7" t="n">
        <v>94</v>
      </c>
      <c r="F12" s="9" t="n">
        <v>8390</v>
      </c>
      <c r="G12" s="9" t="n">
        <f aca="false">ROUND(E12*F12/1000,0)</f>
        <v>789</v>
      </c>
      <c r="H12" s="7" t="s">
        <v>152</v>
      </c>
      <c r="I12" s="8" t="n">
        <v>46293</v>
      </c>
      <c r="J12" s="7" t="s">
        <v>31</v>
      </c>
      <c r="K12" s="7" t="s">
        <v>153</v>
      </c>
      <c r="L12" s="7" t="s">
        <v>64</v>
      </c>
    </row>
    <row r="13" customFormat="false" ht="15" hidden="false" customHeight="false" outlineLevel="0" collapsed="false">
      <c r="A13" s="4" t="s">
        <v>79</v>
      </c>
      <c r="B13" s="4" t="s">
        <v>78</v>
      </c>
      <c r="C13" s="4" t="s">
        <v>45</v>
      </c>
      <c r="D13" s="4" t="s">
        <v>154</v>
      </c>
      <c r="E13" s="4" t="n">
        <v>72</v>
      </c>
      <c r="F13" s="6" t="n">
        <v>10490</v>
      </c>
      <c r="G13" s="6" t="n">
        <f aca="false">ROUND(E13*F13/1000,0)</f>
        <v>755</v>
      </c>
      <c r="H13" s="4" t="s">
        <v>155</v>
      </c>
      <c r="I13" s="5" t="n">
        <v>46291</v>
      </c>
      <c r="J13" s="4" t="s">
        <v>80</v>
      </c>
      <c r="K13" s="4" t="s">
        <v>157</v>
      </c>
      <c r="L13" s="4" t="s">
        <v>156</v>
      </c>
    </row>
    <row r="14" customFormat="false" ht="15" hidden="false" customHeight="false" outlineLevel="0" collapsed="false">
      <c r="A14" s="7" t="s">
        <v>28</v>
      </c>
      <c r="B14" s="7" t="s">
        <v>27</v>
      </c>
      <c r="C14" s="7" t="s">
        <v>29</v>
      </c>
      <c r="D14" s="7" t="s">
        <v>154</v>
      </c>
      <c r="E14" s="7" t="n">
        <v>88</v>
      </c>
      <c r="F14" s="9" t="n">
        <v>7940</v>
      </c>
      <c r="G14" s="9" t="n">
        <f aca="false">ROUND(E14*F14/1000,0)</f>
        <v>699</v>
      </c>
      <c r="H14" s="7" t="s">
        <v>155</v>
      </c>
      <c r="I14" s="8" t="n">
        <v>46295</v>
      </c>
      <c r="J14" s="7" t="s">
        <v>31</v>
      </c>
      <c r="K14" s="7" t="s">
        <v>153</v>
      </c>
      <c r="L14" s="7" t="s">
        <v>33</v>
      </c>
    </row>
    <row r="15" customFormat="false" ht="15" hidden="false" customHeight="false" outlineLevel="0" collapsed="false">
      <c r="A15" s="4" t="s">
        <v>92</v>
      </c>
      <c r="B15" s="4" t="s">
        <v>91</v>
      </c>
      <c r="C15" s="4" t="s">
        <v>53</v>
      </c>
      <c r="D15" s="4" t="s">
        <v>158</v>
      </c>
      <c r="E15" s="4" t="n">
        <v>55</v>
      </c>
      <c r="F15" s="6" t="n">
        <v>11790</v>
      </c>
      <c r="G15" s="6" t="n">
        <f aca="false">ROUND(E15*F15/1000,0)</f>
        <v>648</v>
      </c>
      <c r="H15" s="4" t="s">
        <v>159</v>
      </c>
      <c r="I15" s="5" t="n">
        <v>46290</v>
      </c>
      <c r="J15" s="4" t="s">
        <v>55</v>
      </c>
      <c r="K15" s="4" t="s">
        <v>157</v>
      </c>
      <c r="L15" s="4" t="s">
        <v>160</v>
      </c>
    </row>
    <row r="16" customFormat="false" ht="15" hidden="false" customHeight="false" outlineLevel="0" collapsed="false">
      <c r="A16" s="7" t="s">
        <v>44</v>
      </c>
      <c r="B16" s="7" t="s">
        <v>43</v>
      </c>
      <c r="C16" s="7" t="s">
        <v>45</v>
      </c>
      <c r="D16" s="7" t="s">
        <v>154</v>
      </c>
      <c r="E16" s="7" t="n">
        <v>61</v>
      </c>
      <c r="F16" s="9" t="n">
        <v>9290</v>
      </c>
      <c r="G16" s="9" t="n">
        <f aca="false">ROUND(E16*F16/1000,0)</f>
        <v>567</v>
      </c>
      <c r="H16" s="7" t="s">
        <v>155</v>
      </c>
      <c r="I16" s="8" t="n">
        <v>46294</v>
      </c>
      <c r="J16" s="7" t="s">
        <v>80</v>
      </c>
      <c r="K16" s="7" t="s">
        <v>153</v>
      </c>
      <c r="L16" s="7" t="s">
        <v>156</v>
      </c>
    </row>
    <row r="17" customFormat="false" ht="15" hidden="false" customHeight="false" outlineLevel="0" collapsed="false">
      <c r="A17" s="4" t="s">
        <v>19</v>
      </c>
      <c r="B17" s="4" t="s">
        <v>18</v>
      </c>
      <c r="C17" s="4" t="s">
        <v>20</v>
      </c>
      <c r="D17" s="4" t="s">
        <v>158</v>
      </c>
      <c r="E17" s="4" t="n">
        <v>42</v>
      </c>
      <c r="F17" s="6" t="n">
        <v>12990</v>
      </c>
      <c r="G17" s="6" t="n">
        <f aca="false">ROUND(E17*F17/1000,0)</f>
        <v>546</v>
      </c>
      <c r="H17" s="4" t="s">
        <v>159</v>
      </c>
      <c r="I17" s="5" t="n">
        <v>46295</v>
      </c>
      <c r="J17" s="4" t="s">
        <v>22</v>
      </c>
      <c r="K17" s="4" t="s">
        <v>157</v>
      </c>
      <c r="L17" s="4" t="s">
        <v>160</v>
      </c>
    </row>
    <row r="18" customFormat="false" ht="15" hidden="false" customHeight="false" outlineLevel="0" collapsed="false">
      <c r="A18" s="7" t="s">
        <v>129</v>
      </c>
      <c r="B18" s="7" t="s">
        <v>128</v>
      </c>
      <c r="C18" s="7" t="s">
        <v>38</v>
      </c>
      <c r="D18" s="7" t="s">
        <v>158</v>
      </c>
      <c r="E18" s="7" t="n">
        <v>54</v>
      </c>
      <c r="F18" s="9" t="n">
        <v>8190</v>
      </c>
      <c r="G18" s="9" t="n">
        <f aca="false">ROUND(E18*F18/1000,0)</f>
        <v>442</v>
      </c>
      <c r="H18" s="7" t="s">
        <v>159</v>
      </c>
      <c r="I18" s="8" t="n">
        <v>46287</v>
      </c>
      <c r="J18" s="7" t="s">
        <v>39</v>
      </c>
      <c r="K18" s="7" t="s">
        <v>157</v>
      </c>
      <c r="L18" s="7" t="s">
        <v>160</v>
      </c>
    </row>
    <row r="19" customFormat="false" ht="15" hidden="false" customHeight="false" outlineLevel="0" collapsed="false">
      <c r="A19" s="4" t="s">
        <v>97</v>
      </c>
      <c r="B19" s="4" t="s">
        <v>96</v>
      </c>
      <c r="C19" s="4" t="s">
        <v>38</v>
      </c>
      <c r="D19" s="4" t="s">
        <v>158</v>
      </c>
      <c r="E19" s="4" t="n">
        <v>48</v>
      </c>
      <c r="F19" s="6" t="n">
        <v>8990</v>
      </c>
      <c r="G19" s="6" t="n">
        <f aca="false">ROUND(E19*F19/1000,0)</f>
        <v>432</v>
      </c>
      <c r="H19" s="4" t="s">
        <v>159</v>
      </c>
      <c r="I19" s="5" t="n">
        <v>46290</v>
      </c>
      <c r="J19" s="4" t="s">
        <v>39</v>
      </c>
      <c r="K19" s="4" t="s">
        <v>157</v>
      </c>
      <c r="L19" s="4" t="s">
        <v>160</v>
      </c>
    </row>
    <row r="20" customFormat="false" ht="15" hidden="false" customHeight="false" outlineLevel="0" collapsed="false">
      <c r="A20" s="7" t="s">
        <v>37</v>
      </c>
      <c r="B20" s="7" t="s">
        <v>36</v>
      </c>
      <c r="C20" s="7" t="s">
        <v>38</v>
      </c>
      <c r="D20" s="7" t="s">
        <v>158</v>
      </c>
      <c r="E20" s="7" t="n">
        <v>35</v>
      </c>
      <c r="F20" s="9" t="n">
        <v>6790</v>
      </c>
      <c r="G20" s="9" t="n">
        <f aca="false">ROUND(E20*F20/1000,0)</f>
        <v>238</v>
      </c>
      <c r="H20" s="7" t="s">
        <v>159</v>
      </c>
      <c r="I20" s="8" t="n">
        <v>46294</v>
      </c>
      <c r="J20" s="7" t="s">
        <v>39</v>
      </c>
      <c r="K20" s="7" t="s">
        <v>157</v>
      </c>
      <c r="L20" s="7" t="s">
        <v>160</v>
      </c>
    </row>
    <row r="21" customFormat="false" ht="15" hidden="false" customHeight="false" outlineLevel="0" collapsed="false">
      <c r="A21" s="4" t="s">
        <v>109</v>
      </c>
      <c r="B21" s="4" t="s">
        <v>108</v>
      </c>
      <c r="C21" s="4" t="s">
        <v>45</v>
      </c>
      <c r="D21" s="4" t="s">
        <v>158</v>
      </c>
      <c r="E21" s="4" t="n">
        <v>38</v>
      </c>
      <c r="F21" s="6" t="n">
        <v>5990</v>
      </c>
      <c r="G21" s="6" t="n">
        <f aca="false">ROUND(E21*F21/1000,0)</f>
        <v>228</v>
      </c>
      <c r="H21" s="4" t="s">
        <v>159</v>
      </c>
      <c r="I21" s="5" t="n">
        <v>46289</v>
      </c>
      <c r="J21" s="4" t="s">
        <v>80</v>
      </c>
      <c r="K21" s="4" t="s">
        <v>157</v>
      </c>
      <c r="L21" s="4" t="s">
        <v>160</v>
      </c>
    </row>
    <row r="22" customFormat="false" ht="15" hidden="false" customHeight="false" outlineLevel="0" collapsed="false">
      <c r="A22" s="7" t="s">
        <v>104</v>
      </c>
      <c r="B22" s="7" t="s">
        <v>103</v>
      </c>
      <c r="C22" s="7" t="s">
        <v>29</v>
      </c>
      <c r="D22" s="7" t="s">
        <v>158</v>
      </c>
      <c r="E22" s="7" t="n">
        <v>42</v>
      </c>
      <c r="F22" s="9" t="n">
        <v>4790</v>
      </c>
      <c r="G22" s="9" t="n">
        <f aca="false">ROUND(E22*F22/1000,0)</f>
        <v>201</v>
      </c>
      <c r="H22" s="7" t="s">
        <v>159</v>
      </c>
      <c r="I22" s="8" t="n">
        <v>46289</v>
      </c>
      <c r="J22" s="7" t="s">
        <v>31</v>
      </c>
      <c r="K22" s="7" t="s">
        <v>157</v>
      </c>
      <c r="L22" s="7" t="s">
        <v>160</v>
      </c>
    </row>
    <row r="23" customFormat="false" ht="15" hidden="false" customHeight="false" outlineLevel="0" collapsed="false">
      <c r="A23" s="4" t="s">
        <v>124</v>
      </c>
      <c r="B23" s="4" t="s">
        <v>123</v>
      </c>
      <c r="C23" s="4" t="s">
        <v>29</v>
      </c>
      <c r="D23" s="4" t="s">
        <v>161</v>
      </c>
      <c r="E23" s="4" t="n">
        <v>18</v>
      </c>
      <c r="F23" s="6" t="n">
        <v>2390</v>
      </c>
      <c r="G23" s="6" t="n">
        <f aca="false">ROUND(E23*F23/1000,0)</f>
        <v>43</v>
      </c>
      <c r="H23" s="4" t="s">
        <v>162</v>
      </c>
      <c r="I23" s="5" t="n">
        <v>46287</v>
      </c>
      <c r="J23" s="4" t="s">
        <v>31</v>
      </c>
      <c r="K23" s="4" t="s">
        <v>157</v>
      </c>
      <c r="L23" s="4" t="s">
        <v>163</v>
      </c>
    </row>
    <row r="24" customFormat="false" ht="15" hidden="false" customHeight="false" outlineLevel="0" collapsed="false">
      <c r="A24" s="7" t="s">
        <v>140</v>
      </c>
      <c r="B24" s="7" t="s">
        <v>139</v>
      </c>
      <c r="C24" s="7" t="s">
        <v>45</v>
      </c>
      <c r="D24" s="7" t="s">
        <v>161</v>
      </c>
      <c r="E24" s="7" t="n">
        <v>12</v>
      </c>
      <c r="F24" s="9" t="n">
        <v>3090</v>
      </c>
      <c r="G24" s="9" t="n">
        <f aca="false">ROUND(E24*F24/1000,0)</f>
        <v>37</v>
      </c>
      <c r="H24" s="7" t="s">
        <v>162</v>
      </c>
      <c r="I24" s="8" t="n">
        <v>46286</v>
      </c>
      <c r="J24" s="7" t="s">
        <v>80</v>
      </c>
      <c r="K24" s="7" t="s">
        <v>157</v>
      </c>
      <c r="L24" s="7" t="s">
        <v>163</v>
      </c>
    </row>
  </sheetData>
  <mergeCells count="2">
    <mergeCell ref="A1:L1"/>
    <mergeCell ref="A2:L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2"/>
    <col collapsed="false" customWidth="true" hidden="false" outlineLevel="0" max="3" min="3" style="0" width="13"/>
    <col collapsed="false" customWidth="true" hidden="false" outlineLevel="0" max="4" min="4" style="0" width="12"/>
    <col collapsed="false" customWidth="true" hidden="false" outlineLevel="0" max="5" min="5" style="0" width="11"/>
    <col collapsed="false" customWidth="true" hidden="false" outlineLevel="0" max="6" min="6" style="0" width="12"/>
    <col collapsed="false" customWidth="true" hidden="false" outlineLevel="0" max="7" min="7" style="0" width="10"/>
    <col collapsed="false" customWidth="true" hidden="false" outlineLevel="0" max="8" min="8" style="0" width="9"/>
    <col collapsed="false" customWidth="true" hidden="false" outlineLevel="0" max="9" min="9" style="0" width="11"/>
    <col collapsed="false" customWidth="true" hidden="false" outlineLevel="0" max="10" min="10" style="0" width="10"/>
    <col collapsed="false" customWidth="true" hidden="false" outlineLevel="0" max="11" min="11" style="0" width="11"/>
    <col collapsed="false" customWidth="true" hidden="false" outlineLevel="0" max="12" min="12" style="0" width="8"/>
    <col collapsed="false" customWidth="true" hidden="false" outlineLevel="0" max="13" min="13" style="0" width="12"/>
  </cols>
  <sheetData>
    <row r="1" customFormat="false" ht="27.75" hidden="false" customHeight="true" outlineLevel="0" collapsed="false">
      <c r="A1" s="1" t="s">
        <v>164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15" hidden="false" customHeight="false" outlineLevel="0" collapsed="false">
      <c r="A2" s="2" t="s">
        <v>165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4" customFormat="false" ht="30" hidden="false" customHeight="true" outlineLevel="0" collapsed="false">
      <c r="A4" s="3" t="s">
        <v>166</v>
      </c>
      <c r="B4" s="3" t="s">
        <v>167</v>
      </c>
      <c r="C4" s="3" t="s">
        <v>168</v>
      </c>
      <c r="D4" s="3" t="s">
        <v>169</v>
      </c>
      <c r="E4" s="3" t="s">
        <v>170</v>
      </c>
      <c r="F4" s="3" t="s">
        <v>171</v>
      </c>
      <c r="G4" s="3" t="s">
        <v>172</v>
      </c>
      <c r="H4" s="3" t="s">
        <v>173</v>
      </c>
      <c r="I4" s="3" t="s">
        <v>174</v>
      </c>
      <c r="J4" s="3" t="s">
        <v>175</v>
      </c>
      <c r="K4" s="3" t="s">
        <v>176</v>
      </c>
      <c r="L4" s="3" t="s">
        <v>177</v>
      </c>
      <c r="M4" s="3" t="s">
        <v>178</v>
      </c>
    </row>
    <row r="5" customFormat="false" ht="15" hidden="false" customHeight="false" outlineLevel="0" collapsed="false">
      <c r="A5" s="4" t="s">
        <v>179</v>
      </c>
      <c r="B5" s="10" t="n">
        <v>412</v>
      </c>
      <c r="C5" s="10" t="n">
        <v>394.7</v>
      </c>
      <c r="D5" s="11" t="n">
        <f aca="false">ROUND(C5/B5*100,1)</f>
        <v>95.8</v>
      </c>
      <c r="E5" s="11" t="n">
        <v>12.4</v>
      </c>
      <c r="F5" s="11" t="n">
        <v>88.2</v>
      </c>
      <c r="G5" s="6" t="n">
        <v>3120</v>
      </c>
      <c r="H5" s="12" t="n">
        <v>71</v>
      </c>
      <c r="I5" s="6" t="n">
        <v>212</v>
      </c>
      <c r="J5" s="6" t="n">
        <v>1840</v>
      </c>
      <c r="K5" s="12" t="n">
        <v>14</v>
      </c>
      <c r="L5" s="13" t="n">
        <v>1.42</v>
      </c>
      <c r="M5" s="6" t="n">
        <v>9840</v>
      </c>
    </row>
    <row r="6" customFormat="false" ht="15" hidden="false" customHeight="false" outlineLevel="0" collapsed="false">
      <c r="A6" s="7" t="s">
        <v>180</v>
      </c>
      <c r="B6" s="14" t="n">
        <v>418</v>
      </c>
      <c r="C6" s="14" t="n">
        <v>401.7</v>
      </c>
      <c r="D6" s="15" t="n">
        <f aca="false">ROUND(C6/B6*100,1)</f>
        <v>96.1</v>
      </c>
      <c r="E6" s="15" t="n">
        <v>12.1</v>
      </c>
      <c r="F6" s="15" t="n">
        <v>88.9</v>
      </c>
      <c r="G6" s="9" t="n">
        <v>3185</v>
      </c>
      <c r="H6" s="16" t="n">
        <v>72</v>
      </c>
      <c r="I6" s="9" t="n">
        <v>205</v>
      </c>
      <c r="J6" s="9" t="n">
        <v>1795</v>
      </c>
      <c r="K6" s="16" t="n">
        <v>12</v>
      </c>
      <c r="L6" s="17" t="n">
        <v>1.4</v>
      </c>
      <c r="M6" s="9" t="n">
        <v>9710</v>
      </c>
    </row>
    <row r="7" customFormat="false" ht="15" hidden="false" customHeight="false" outlineLevel="0" collapsed="false">
      <c r="A7" s="4" t="s">
        <v>181</v>
      </c>
      <c r="B7" s="10" t="n">
        <v>425</v>
      </c>
      <c r="C7" s="10" t="n">
        <v>409.7</v>
      </c>
      <c r="D7" s="11" t="n">
        <f aca="false">ROUND(C7/B7*100,1)</f>
        <v>96.4</v>
      </c>
      <c r="E7" s="11" t="n">
        <v>11.8</v>
      </c>
      <c r="F7" s="11" t="n">
        <v>89.4</v>
      </c>
      <c r="G7" s="6" t="n">
        <v>3240</v>
      </c>
      <c r="H7" s="12" t="n">
        <v>73</v>
      </c>
      <c r="I7" s="6" t="n">
        <v>198</v>
      </c>
      <c r="J7" s="6" t="n">
        <v>1760</v>
      </c>
      <c r="K7" s="12" t="n">
        <v>11</v>
      </c>
      <c r="L7" s="13" t="n">
        <v>1.37</v>
      </c>
      <c r="M7" s="6" t="n">
        <v>9580</v>
      </c>
    </row>
    <row r="8" customFormat="false" ht="15" hidden="false" customHeight="false" outlineLevel="0" collapsed="false">
      <c r="A8" s="7" t="s">
        <v>182</v>
      </c>
      <c r="B8" s="14" t="n">
        <v>431</v>
      </c>
      <c r="C8" s="14" t="n">
        <v>416.8</v>
      </c>
      <c r="D8" s="15" t="n">
        <f aca="false">ROUND(C8/B8*100,1)</f>
        <v>96.7</v>
      </c>
      <c r="E8" s="15" t="n">
        <v>11.6</v>
      </c>
      <c r="F8" s="15" t="n">
        <v>89.9</v>
      </c>
      <c r="G8" s="9" t="n">
        <v>3302</v>
      </c>
      <c r="H8" s="16" t="n">
        <v>74</v>
      </c>
      <c r="I8" s="9" t="n">
        <v>190</v>
      </c>
      <c r="J8" s="9" t="n">
        <v>1720</v>
      </c>
      <c r="K8" s="16" t="n">
        <v>10</v>
      </c>
      <c r="L8" s="17" t="n">
        <v>1.35</v>
      </c>
      <c r="M8" s="9" t="n">
        <v>9450</v>
      </c>
    </row>
    <row r="9" customFormat="false" ht="15" hidden="false" customHeight="false" outlineLevel="0" collapsed="false">
      <c r="A9" s="4" t="s">
        <v>183</v>
      </c>
      <c r="B9" s="10" t="n">
        <v>438</v>
      </c>
      <c r="C9" s="10" t="n">
        <v>424.9</v>
      </c>
      <c r="D9" s="11" t="n">
        <f aca="false">ROUND(C9/B9*100,1)</f>
        <v>97</v>
      </c>
      <c r="E9" s="11" t="n">
        <v>11.9</v>
      </c>
      <c r="F9" s="11" t="n">
        <v>90.3</v>
      </c>
      <c r="G9" s="6" t="n">
        <v>3356</v>
      </c>
      <c r="H9" s="12" t="n">
        <v>74</v>
      </c>
      <c r="I9" s="6" t="n">
        <v>184</v>
      </c>
      <c r="J9" s="6" t="n">
        <v>1695</v>
      </c>
      <c r="K9" s="12" t="n">
        <v>12</v>
      </c>
      <c r="L9" s="13" t="n">
        <v>1.33</v>
      </c>
      <c r="M9" s="6" t="n">
        <v>9390</v>
      </c>
    </row>
    <row r="10" customFormat="false" ht="15" hidden="false" customHeight="false" outlineLevel="0" collapsed="false">
      <c r="A10" s="7" t="s">
        <v>184</v>
      </c>
      <c r="B10" s="14" t="n">
        <v>452</v>
      </c>
      <c r="C10" s="14" t="n">
        <v>434.8</v>
      </c>
      <c r="D10" s="15" t="n">
        <f aca="false">ROUND(C10/B10*100,1)</f>
        <v>96.2</v>
      </c>
      <c r="E10" s="15" t="n">
        <v>13.8</v>
      </c>
      <c r="F10" s="15" t="n">
        <v>87.6</v>
      </c>
      <c r="G10" s="9" t="n">
        <v>3610</v>
      </c>
      <c r="H10" s="16" t="n">
        <v>68</v>
      </c>
      <c r="I10" s="9" t="n">
        <v>263</v>
      </c>
      <c r="J10" s="9" t="n">
        <v>1910</v>
      </c>
      <c r="K10" s="16" t="n">
        <v>27</v>
      </c>
      <c r="L10" s="17" t="n">
        <v>1.36</v>
      </c>
      <c r="M10" s="9" t="n">
        <v>11260</v>
      </c>
    </row>
    <row r="11" customFormat="false" ht="15" hidden="false" customHeight="false" outlineLevel="0" collapsed="false">
      <c r="A11" s="18" t="s">
        <v>185</v>
      </c>
      <c r="B11" s="19" t="n">
        <f aca="false">ROUND(AVERAGE(B5:B10),2)</f>
        <v>429.33</v>
      </c>
      <c r="C11" s="19" t="n">
        <f aca="false">ROUND(AVERAGE(C5:C10),2)</f>
        <v>413.77</v>
      </c>
      <c r="D11" s="20" t="n">
        <f aca="false">ROUND(AVERAGE(D5:D10),2)</f>
        <v>96.37</v>
      </c>
      <c r="E11" s="20" t="n">
        <f aca="false">ROUND(AVERAGE(E5:E10),2)</f>
        <v>12.27</v>
      </c>
      <c r="F11" s="20" t="n">
        <f aca="false">ROUND(AVERAGE(F5:F10),2)</f>
        <v>89.05</v>
      </c>
      <c r="G11" s="21" t="n">
        <f aca="false">ROUND(AVERAGE(G5:G10),2)</f>
        <v>3302.17</v>
      </c>
      <c r="H11" s="20" t="n">
        <f aca="false">ROUND(AVERAGE(H5:H10),2)</f>
        <v>72</v>
      </c>
      <c r="I11" s="21" t="n">
        <f aca="false">ROUND(AVERAGE(I5:I10),2)</f>
        <v>208.67</v>
      </c>
      <c r="J11" s="21" t="n">
        <f aca="false">ROUND(AVERAGE(J5:J10),2)</f>
        <v>1786.67</v>
      </c>
      <c r="K11" s="20" t="n">
        <f aca="false">ROUND(AVERAGE(K5:K10),2)</f>
        <v>14.33</v>
      </c>
      <c r="L11" s="22" t="n">
        <f aca="false">ROUND(AVERAGE(L5:L10),2)</f>
        <v>1.37</v>
      </c>
      <c r="M11" s="21" t="n">
        <f aca="false">ROUND(AVERAGE(M5:M10),2)</f>
        <v>9871.67</v>
      </c>
    </row>
  </sheetData>
  <mergeCells count="2">
    <mergeCell ref="A1:M1"/>
    <mergeCell ref="A2:M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7"/>
    <col collapsed="false" customWidth="true" hidden="false" outlineLevel="0" max="8" min="3" style="0" width="10"/>
    <col collapsed="false" customWidth="true" hidden="false" outlineLevel="0" max="10" min="9" style="0" width="9"/>
    <col collapsed="false" customWidth="true" hidden="false" outlineLevel="0" max="12" min="11" style="0" width="11"/>
  </cols>
  <sheetData>
    <row r="1" customFormat="false" ht="27.75" hidden="false" customHeight="true" outlineLevel="0" collapsed="false">
      <c r="A1" s="1" t="s">
        <v>186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15" hidden="false" customHeight="false" outlineLevel="0" collapsed="false">
      <c r="A2" s="2" t="s">
        <v>187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customFormat="false" ht="30" hidden="false" customHeight="true" outlineLevel="0" collapsed="false">
      <c r="A4" s="3" t="s">
        <v>166</v>
      </c>
      <c r="B4" s="3" t="s">
        <v>7</v>
      </c>
      <c r="C4" s="3" t="s">
        <v>188</v>
      </c>
      <c r="D4" s="3" t="s">
        <v>189</v>
      </c>
      <c r="E4" s="3" t="s">
        <v>190</v>
      </c>
      <c r="F4" s="3" t="s">
        <v>191</v>
      </c>
      <c r="G4" s="3" t="s">
        <v>192</v>
      </c>
      <c r="H4" s="3" t="s">
        <v>193</v>
      </c>
      <c r="I4" s="3" t="s">
        <v>194</v>
      </c>
      <c r="J4" s="3" t="s">
        <v>195</v>
      </c>
      <c r="K4" s="3" t="s">
        <v>196</v>
      </c>
      <c r="L4" s="3" t="s">
        <v>197</v>
      </c>
    </row>
    <row r="5" customFormat="false" ht="15" hidden="false" customHeight="false" outlineLevel="0" collapsed="false">
      <c r="A5" s="4" t="s">
        <v>184</v>
      </c>
      <c r="B5" s="4" t="s">
        <v>29</v>
      </c>
      <c r="C5" s="6" t="n">
        <v>6671</v>
      </c>
      <c r="D5" s="10" t="n">
        <v>10.7</v>
      </c>
      <c r="E5" s="6" t="n">
        <v>2006</v>
      </c>
      <c r="F5" s="10" t="n">
        <v>4.5</v>
      </c>
      <c r="G5" s="6" t="n">
        <v>828</v>
      </c>
      <c r="H5" s="10" t="n">
        <v>2.4</v>
      </c>
      <c r="I5" s="6" t="n">
        <v>338</v>
      </c>
      <c r="J5" s="10" t="n">
        <v>1.4</v>
      </c>
      <c r="K5" s="11" t="n">
        <v>7.9</v>
      </c>
      <c r="L5" s="11" t="n">
        <v>91.2</v>
      </c>
    </row>
    <row r="6" customFormat="false" ht="15" hidden="false" customHeight="false" outlineLevel="0" collapsed="false">
      <c r="A6" s="7" t="s">
        <v>184</v>
      </c>
      <c r="B6" s="7" t="s">
        <v>38</v>
      </c>
      <c r="C6" s="9" t="n">
        <v>3793</v>
      </c>
      <c r="D6" s="14" t="n">
        <v>9.7</v>
      </c>
      <c r="E6" s="9" t="n">
        <v>1221</v>
      </c>
      <c r="F6" s="14" t="n">
        <v>4.7</v>
      </c>
      <c r="G6" s="9" t="n">
        <v>567</v>
      </c>
      <c r="H6" s="14" t="n">
        <v>2.8</v>
      </c>
      <c r="I6" s="9" t="n">
        <v>262</v>
      </c>
      <c r="J6" s="14" t="n">
        <v>1.7</v>
      </c>
      <c r="K6" s="15" t="n">
        <v>9.6</v>
      </c>
      <c r="L6" s="15" t="n">
        <v>87.5</v>
      </c>
    </row>
    <row r="7" customFormat="false" ht="15" hidden="false" customHeight="false" outlineLevel="0" collapsed="false">
      <c r="A7" s="4" t="s">
        <v>184</v>
      </c>
      <c r="B7" s="4" t="s">
        <v>53</v>
      </c>
      <c r="C7" s="6" t="n">
        <v>2409</v>
      </c>
      <c r="D7" s="10" t="n">
        <v>8.3</v>
      </c>
      <c r="E7" s="6" t="n">
        <v>828</v>
      </c>
      <c r="F7" s="10" t="n">
        <v>4.3</v>
      </c>
      <c r="G7" s="6" t="n">
        <v>425</v>
      </c>
      <c r="H7" s="10" t="n">
        <v>2.7</v>
      </c>
      <c r="I7" s="6" t="n">
        <v>207</v>
      </c>
      <c r="J7" s="10" t="n">
        <v>1.9</v>
      </c>
      <c r="K7" s="11" t="n">
        <v>11.2</v>
      </c>
      <c r="L7" s="11" t="n">
        <v>84.3</v>
      </c>
    </row>
    <row r="8" customFormat="false" ht="15" hidden="false" customHeight="false" outlineLevel="0" collapsed="false">
      <c r="A8" s="7" t="s">
        <v>184</v>
      </c>
      <c r="B8" s="7" t="s">
        <v>20</v>
      </c>
      <c r="C8" s="9" t="n">
        <v>3397</v>
      </c>
      <c r="D8" s="14" t="n">
        <v>24.7</v>
      </c>
      <c r="E8" s="9" t="n">
        <v>1225</v>
      </c>
      <c r="F8" s="14" t="n">
        <v>14.8</v>
      </c>
      <c r="G8" s="9" t="n">
        <v>705</v>
      </c>
      <c r="H8" s="14" t="n">
        <v>11.1</v>
      </c>
      <c r="I8" s="9" t="n">
        <v>381</v>
      </c>
      <c r="J8" s="14" t="n">
        <v>8.5</v>
      </c>
      <c r="K8" s="15" t="n">
        <v>13.1</v>
      </c>
      <c r="L8" s="15" t="n">
        <v>78.6</v>
      </c>
    </row>
    <row r="9" customFormat="false" ht="15" hidden="false" customHeight="false" outlineLevel="0" collapsed="false">
      <c r="A9" s="4" t="s">
        <v>184</v>
      </c>
      <c r="B9" s="4" t="s">
        <v>45</v>
      </c>
      <c r="C9" s="6" t="n">
        <v>4218</v>
      </c>
      <c r="D9" s="10" t="n">
        <v>6.8</v>
      </c>
      <c r="E9" s="6" t="n">
        <v>1406</v>
      </c>
      <c r="F9" s="10" t="n">
        <v>3.3</v>
      </c>
      <c r="G9" s="6" t="n">
        <v>698</v>
      </c>
      <c r="H9" s="10" t="n">
        <v>2.2</v>
      </c>
      <c r="I9" s="6" t="n">
        <v>305</v>
      </c>
      <c r="J9" s="10" t="n">
        <v>1.3</v>
      </c>
      <c r="K9" s="11" t="n">
        <v>10.4</v>
      </c>
      <c r="L9" s="11" t="n">
        <v>85.1</v>
      </c>
    </row>
    <row r="10" customFormat="false" ht="15" hidden="false" customHeight="false" outlineLevel="0" collapsed="false">
      <c r="A10" s="7" t="s">
        <v>183</v>
      </c>
      <c r="B10" s="7" t="s">
        <v>29</v>
      </c>
      <c r="C10" s="9" t="n">
        <v>6273</v>
      </c>
      <c r="D10" s="14" t="n">
        <v>10</v>
      </c>
      <c r="E10" s="9" t="n">
        <v>1886</v>
      </c>
      <c r="F10" s="14" t="n">
        <v>4.2</v>
      </c>
      <c r="G10" s="9" t="n">
        <v>779</v>
      </c>
      <c r="H10" s="14" t="n">
        <v>2.3</v>
      </c>
      <c r="I10" s="9" t="n">
        <v>318</v>
      </c>
      <c r="J10" s="14" t="n">
        <v>1.3</v>
      </c>
      <c r="K10" s="15" t="n">
        <v>7.6</v>
      </c>
      <c r="L10" s="15" t="n">
        <v>92.1</v>
      </c>
    </row>
    <row r="11" customFormat="false" ht="15" hidden="false" customHeight="false" outlineLevel="0" collapsed="false">
      <c r="A11" s="4" t="s">
        <v>183</v>
      </c>
      <c r="B11" s="4" t="s">
        <v>38</v>
      </c>
      <c r="C11" s="6" t="n">
        <v>3567</v>
      </c>
      <c r="D11" s="10" t="n">
        <v>9.1</v>
      </c>
      <c r="E11" s="6" t="n">
        <v>1148</v>
      </c>
      <c r="F11" s="10" t="n">
        <v>4.4</v>
      </c>
      <c r="G11" s="6" t="n">
        <v>533</v>
      </c>
      <c r="H11" s="10" t="n">
        <v>2.7</v>
      </c>
      <c r="I11" s="6" t="n">
        <v>246</v>
      </c>
      <c r="J11" s="10" t="n">
        <v>1.6</v>
      </c>
      <c r="K11" s="11" t="n">
        <v>9.1</v>
      </c>
      <c r="L11" s="11" t="n">
        <v>88</v>
      </c>
    </row>
    <row r="12" customFormat="false" ht="15" hidden="false" customHeight="false" outlineLevel="0" collapsed="false">
      <c r="A12" s="7" t="s">
        <v>183</v>
      </c>
      <c r="B12" s="7" t="s">
        <v>53</v>
      </c>
      <c r="C12" s="9" t="n">
        <v>2265</v>
      </c>
      <c r="D12" s="14" t="n">
        <v>7.8</v>
      </c>
      <c r="E12" s="9" t="n">
        <v>779</v>
      </c>
      <c r="F12" s="14" t="n">
        <v>4</v>
      </c>
      <c r="G12" s="9" t="n">
        <v>400</v>
      </c>
      <c r="H12" s="14" t="n">
        <v>2.6</v>
      </c>
      <c r="I12" s="9" t="n">
        <v>195</v>
      </c>
      <c r="J12" s="14" t="n">
        <v>1.7</v>
      </c>
      <c r="K12" s="15" t="n">
        <v>10.5</v>
      </c>
      <c r="L12" s="15" t="n">
        <v>85.1</v>
      </c>
    </row>
    <row r="13" customFormat="false" ht="15" hidden="false" customHeight="false" outlineLevel="0" collapsed="false">
      <c r="A13" s="4" t="s">
        <v>183</v>
      </c>
      <c r="B13" s="4" t="s">
        <v>20</v>
      </c>
      <c r="C13" s="6" t="n">
        <v>3013</v>
      </c>
      <c r="D13" s="10" t="n">
        <v>21.9</v>
      </c>
      <c r="E13" s="6" t="n">
        <v>1086</v>
      </c>
      <c r="F13" s="10" t="n">
        <v>13.1</v>
      </c>
      <c r="G13" s="6" t="n">
        <v>625</v>
      </c>
      <c r="H13" s="10" t="n">
        <v>9.8</v>
      </c>
      <c r="I13" s="6" t="n">
        <v>338</v>
      </c>
      <c r="J13" s="10" t="n">
        <v>7.6</v>
      </c>
      <c r="K13" s="11" t="n">
        <v>11.9</v>
      </c>
      <c r="L13" s="11" t="n">
        <v>80.2</v>
      </c>
    </row>
    <row r="14" customFormat="false" ht="15" hidden="false" customHeight="false" outlineLevel="0" collapsed="false">
      <c r="A14" s="7" t="s">
        <v>183</v>
      </c>
      <c r="B14" s="7" t="s">
        <v>45</v>
      </c>
      <c r="C14" s="9" t="n">
        <v>3967</v>
      </c>
      <c r="D14" s="14" t="n">
        <v>6.4</v>
      </c>
      <c r="E14" s="9" t="n">
        <v>1322</v>
      </c>
      <c r="F14" s="14" t="n">
        <v>3.1</v>
      </c>
      <c r="G14" s="9" t="n">
        <v>656</v>
      </c>
      <c r="H14" s="14" t="n">
        <v>2</v>
      </c>
      <c r="I14" s="9" t="n">
        <v>287</v>
      </c>
      <c r="J14" s="14" t="n">
        <v>1.2</v>
      </c>
      <c r="K14" s="15" t="n">
        <v>10.1</v>
      </c>
      <c r="L14" s="15" t="n">
        <v>85.7</v>
      </c>
    </row>
    <row r="15" customFormat="false" ht="15" hidden="false" customHeight="false" outlineLevel="0" collapsed="false">
      <c r="A15" s="4" t="s">
        <v>182</v>
      </c>
      <c r="B15" s="4" t="s">
        <v>29</v>
      </c>
      <c r="C15" s="6" t="n">
        <v>6120</v>
      </c>
      <c r="D15" s="10" t="n">
        <v>9.8</v>
      </c>
      <c r="E15" s="6" t="n">
        <v>1840</v>
      </c>
      <c r="F15" s="10" t="n">
        <v>4.1</v>
      </c>
      <c r="G15" s="6" t="n">
        <v>760</v>
      </c>
      <c r="H15" s="10" t="n">
        <v>2.2</v>
      </c>
      <c r="I15" s="6" t="n">
        <v>310</v>
      </c>
      <c r="J15" s="10" t="n">
        <v>1.3</v>
      </c>
      <c r="K15" s="11" t="n">
        <v>7.4</v>
      </c>
      <c r="L15" s="11" t="n">
        <v>91.8</v>
      </c>
    </row>
    <row r="16" customFormat="false" ht="15" hidden="false" customHeight="false" outlineLevel="0" collapsed="false">
      <c r="A16" s="7" t="s">
        <v>182</v>
      </c>
      <c r="B16" s="7" t="s">
        <v>38</v>
      </c>
      <c r="C16" s="9" t="n">
        <v>3480</v>
      </c>
      <c r="D16" s="14" t="n">
        <v>8.9</v>
      </c>
      <c r="E16" s="9" t="n">
        <v>1120</v>
      </c>
      <c r="F16" s="14" t="n">
        <v>4.3</v>
      </c>
      <c r="G16" s="9" t="n">
        <v>520</v>
      </c>
      <c r="H16" s="14" t="n">
        <v>2.6</v>
      </c>
      <c r="I16" s="9" t="n">
        <v>240</v>
      </c>
      <c r="J16" s="14" t="n">
        <v>1.6</v>
      </c>
      <c r="K16" s="15" t="n">
        <v>8.8</v>
      </c>
      <c r="L16" s="15" t="n">
        <v>88.4</v>
      </c>
    </row>
    <row r="17" customFormat="false" ht="15" hidden="false" customHeight="false" outlineLevel="0" collapsed="false">
      <c r="A17" s="4" t="s">
        <v>182</v>
      </c>
      <c r="B17" s="4" t="s">
        <v>53</v>
      </c>
      <c r="C17" s="6" t="n">
        <v>2210</v>
      </c>
      <c r="D17" s="10" t="n">
        <v>7.6</v>
      </c>
      <c r="E17" s="6" t="n">
        <v>760</v>
      </c>
      <c r="F17" s="10" t="n">
        <v>3.9</v>
      </c>
      <c r="G17" s="6" t="n">
        <v>390</v>
      </c>
      <c r="H17" s="10" t="n">
        <v>2.5</v>
      </c>
      <c r="I17" s="6" t="n">
        <v>190</v>
      </c>
      <c r="J17" s="10" t="n">
        <v>1.7</v>
      </c>
      <c r="K17" s="11" t="n">
        <v>10.1</v>
      </c>
      <c r="L17" s="11" t="n">
        <v>85.6</v>
      </c>
    </row>
    <row r="18" customFormat="false" ht="15" hidden="false" customHeight="false" outlineLevel="0" collapsed="false">
      <c r="A18" s="7" t="s">
        <v>182</v>
      </c>
      <c r="B18" s="7" t="s">
        <v>20</v>
      </c>
      <c r="C18" s="9" t="n">
        <v>2940</v>
      </c>
      <c r="D18" s="14" t="n">
        <v>21.4</v>
      </c>
      <c r="E18" s="9" t="n">
        <v>1060</v>
      </c>
      <c r="F18" s="14" t="n">
        <v>12.8</v>
      </c>
      <c r="G18" s="9" t="n">
        <v>610</v>
      </c>
      <c r="H18" s="14" t="n">
        <v>9.6</v>
      </c>
      <c r="I18" s="9" t="n">
        <v>330</v>
      </c>
      <c r="J18" s="14" t="n">
        <v>7.4</v>
      </c>
      <c r="K18" s="15" t="n">
        <v>11.2</v>
      </c>
      <c r="L18" s="15" t="n">
        <v>80.9</v>
      </c>
    </row>
    <row r="19" customFormat="false" ht="15" hidden="false" customHeight="false" outlineLevel="0" collapsed="false">
      <c r="A19" s="4" t="s">
        <v>182</v>
      </c>
      <c r="B19" s="4" t="s">
        <v>45</v>
      </c>
      <c r="C19" s="6" t="n">
        <v>3870</v>
      </c>
      <c r="D19" s="10" t="n">
        <v>6.2</v>
      </c>
      <c r="E19" s="6" t="n">
        <v>1290</v>
      </c>
      <c r="F19" s="10" t="n">
        <v>3</v>
      </c>
      <c r="G19" s="6" t="n">
        <v>640</v>
      </c>
      <c r="H19" s="10" t="n">
        <v>2</v>
      </c>
      <c r="I19" s="6" t="n">
        <v>280</v>
      </c>
      <c r="J19" s="10" t="n">
        <v>1.2</v>
      </c>
      <c r="K19" s="11" t="n">
        <v>9.8</v>
      </c>
      <c r="L19" s="11" t="n">
        <v>86</v>
      </c>
    </row>
  </sheetData>
  <mergeCells count="2">
    <mergeCell ref="A1:L1"/>
    <mergeCell ref="A2:L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3" min="2" style="0" width="10"/>
    <col collapsed="false" customWidth="true" hidden="false" outlineLevel="0" max="4" min="4" style="0" width="11"/>
    <col collapsed="false" customWidth="true" hidden="false" outlineLevel="0" max="5" min="5" style="0" width="46"/>
    <col collapsed="false" customWidth="true" hidden="false" outlineLevel="0" max="6" min="6" style="0" width="17"/>
    <col collapsed="false" customWidth="true" hidden="false" outlineLevel="0" max="7" min="7" style="0" width="18"/>
    <col collapsed="false" customWidth="true" hidden="false" outlineLevel="0" max="9" min="8" style="0" width="10"/>
    <col collapsed="false" customWidth="true" hidden="false" outlineLevel="0" max="10" min="10" style="0" width="8"/>
    <col collapsed="false" customWidth="true" hidden="false" outlineLevel="0" max="11" min="11" style="0" width="11"/>
    <col collapsed="false" customWidth="true" hidden="false" outlineLevel="0" max="12" min="12" style="0" width="12"/>
  </cols>
  <sheetData>
    <row r="1" customFormat="false" ht="27.75" hidden="false" customHeight="true" outlineLevel="0" collapsed="false">
      <c r="A1" s="1" t="s">
        <v>198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15" hidden="false" customHeight="false" outlineLevel="0" collapsed="false">
      <c r="A2" s="2" t="s">
        <v>199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customFormat="false" ht="30" hidden="false" customHeight="true" outlineLevel="0" collapsed="false">
      <c r="A4" s="3" t="s">
        <v>200</v>
      </c>
      <c r="B4" s="3" t="s">
        <v>201</v>
      </c>
      <c r="C4" s="3" t="s">
        <v>202</v>
      </c>
      <c r="D4" s="3" t="s">
        <v>203</v>
      </c>
      <c r="E4" s="3" t="s">
        <v>204</v>
      </c>
      <c r="F4" s="3" t="s">
        <v>205</v>
      </c>
      <c r="G4" s="3" t="s">
        <v>206</v>
      </c>
      <c r="H4" s="3" t="s">
        <v>207</v>
      </c>
      <c r="I4" s="3" t="s">
        <v>208</v>
      </c>
      <c r="J4" s="3" t="s">
        <v>209</v>
      </c>
      <c r="K4" s="3" t="s">
        <v>210</v>
      </c>
      <c r="L4" s="3" t="s">
        <v>211</v>
      </c>
    </row>
    <row r="5" customFormat="false" ht="15" hidden="false" customHeight="false" outlineLevel="0" collapsed="false">
      <c r="A5" s="4" t="s">
        <v>212</v>
      </c>
      <c r="B5" s="4" t="s">
        <v>213</v>
      </c>
      <c r="C5" s="6" t="n">
        <v>14820</v>
      </c>
      <c r="D5" s="10" t="n">
        <v>38.6</v>
      </c>
      <c r="E5" s="4" t="s">
        <v>214</v>
      </c>
      <c r="F5" s="4" t="s">
        <v>215</v>
      </c>
      <c r="G5" s="4" t="s">
        <v>216</v>
      </c>
      <c r="H5" s="11" t="n">
        <v>94</v>
      </c>
      <c r="I5" s="11" t="n">
        <v>93.1</v>
      </c>
      <c r="J5" s="11" t="n">
        <f aca="false">ROUND(H5-I5,1)</f>
        <v>0.9</v>
      </c>
      <c r="K5" s="4" t="s">
        <v>217</v>
      </c>
      <c r="L5" s="5" t="n">
        <v>46310</v>
      </c>
    </row>
    <row r="6" customFormat="false" ht="15" hidden="false" customHeight="false" outlineLevel="0" collapsed="false">
      <c r="A6" s="7" t="s">
        <v>218</v>
      </c>
      <c r="B6" s="7" t="s">
        <v>219</v>
      </c>
      <c r="C6" s="9" t="n">
        <v>4960</v>
      </c>
      <c r="D6" s="14" t="n">
        <v>21.4</v>
      </c>
      <c r="E6" s="7" t="s">
        <v>220</v>
      </c>
      <c r="F6" s="7" t="s">
        <v>221</v>
      </c>
      <c r="G6" s="7" t="s">
        <v>222</v>
      </c>
      <c r="H6" s="15" t="n">
        <v>80</v>
      </c>
      <c r="I6" s="15" t="n">
        <v>77.5</v>
      </c>
      <c r="J6" s="15" t="n">
        <f aca="false">ROUND(H6-I6,1)</f>
        <v>2.5</v>
      </c>
      <c r="K6" s="7" t="s">
        <v>223</v>
      </c>
      <c r="L6" s="8" t="n">
        <v>46305</v>
      </c>
    </row>
    <row r="7" customFormat="false" ht="15" hidden="false" customHeight="false" outlineLevel="0" collapsed="false">
      <c r="A7" s="4" t="s">
        <v>224</v>
      </c>
      <c r="B7" s="4" t="s">
        <v>225</v>
      </c>
      <c r="C7" s="6" t="n">
        <v>2140</v>
      </c>
      <c r="D7" s="10" t="n">
        <v>14.9</v>
      </c>
      <c r="E7" s="4" t="s">
        <v>226</v>
      </c>
      <c r="F7" s="4" t="s">
        <v>227</v>
      </c>
      <c r="G7" s="4" t="s">
        <v>228</v>
      </c>
      <c r="H7" s="11" t="n">
        <v>62</v>
      </c>
      <c r="I7" s="11" t="n">
        <v>57.4</v>
      </c>
      <c r="J7" s="11" t="n">
        <f aca="false">ROUND(H7-I7,1)</f>
        <v>4.6</v>
      </c>
      <c r="K7" s="4" t="s">
        <v>229</v>
      </c>
      <c r="L7" s="5" t="n">
        <v>46303</v>
      </c>
    </row>
    <row r="8" customFormat="false" ht="15" hidden="false" customHeight="false" outlineLevel="0" collapsed="false">
      <c r="A8" s="7" t="s">
        <v>230</v>
      </c>
      <c r="B8" s="7" t="s">
        <v>231</v>
      </c>
      <c r="C8" s="9" t="n">
        <v>830</v>
      </c>
      <c r="D8" s="14" t="n">
        <v>8.7</v>
      </c>
      <c r="E8" s="7" t="s">
        <v>232</v>
      </c>
      <c r="F8" s="7" t="s">
        <v>233</v>
      </c>
      <c r="G8" s="7" t="s">
        <v>234</v>
      </c>
      <c r="H8" s="15" t="n">
        <v>40</v>
      </c>
      <c r="I8" s="15" t="n">
        <v>33.5</v>
      </c>
      <c r="J8" s="15" t="n">
        <f aca="false">ROUND(H8-I8,1)</f>
        <v>6.5</v>
      </c>
      <c r="K8" s="7" t="s">
        <v>235</v>
      </c>
      <c r="L8" s="8" t="n">
        <v>46301</v>
      </c>
    </row>
    <row r="9" customFormat="false" ht="15" hidden="false" customHeight="false" outlineLevel="0" collapsed="false">
      <c r="A9" s="4" t="s">
        <v>236</v>
      </c>
      <c r="B9" s="4" t="s">
        <v>237</v>
      </c>
      <c r="C9" s="6" t="n">
        <v>260</v>
      </c>
      <c r="D9" s="10" t="n">
        <v>3.1</v>
      </c>
      <c r="E9" s="4" t="s">
        <v>238</v>
      </c>
      <c r="F9" s="4" t="s">
        <v>239</v>
      </c>
      <c r="G9" s="4" t="s">
        <v>240</v>
      </c>
      <c r="H9" s="11" t="n">
        <v>25</v>
      </c>
      <c r="I9" s="11" t="n">
        <v>21</v>
      </c>
      <c r="J9" s="11" t="n">
        <f aca="false">ROUND(H9-I9,1)</f>
        <v>4</v>
      </c>
      <c r="K9" s="4" t="s">
        <v>229</v>
      </c>
      <c r="L9" s="5" t="n">
        <v>46307</v>
      </c>
    </row>
    <row r="10" customFormat="false" ht="15" hidden="false" customHeight="false" outlineLevel="0" collapsed="false">
      <c r="A10" s="7" t="s">
        <v>241</v>
      </c>
      <c r="B10" s="7" t="s">
        <v>242</v>
      </c>
      <c r="C10" s="9" t="n">
        <v>3610</v>
      </c>
      <c r="D10" s="14" t="n">
        <v>19.8</v>
      </c>
      <c r="E10" s="7" t="s">
        <v>243</v>
      </c>
      <c r="F10" s="7" t="s">
        <v>244</v>
      </c>
      <c r="G10" s="7" t="s">
        <v>245</v>
      </c>
      <c r="H10" s="15" t="n">
        <v>72</v>
      </c>
      <c r="I10" s="15" t="n">
        <v>68</v>
      </c>
      <c r="J10" s="15" t="n">
        <f aca="false">ROUND(H10-I10,1)</f>
        <v>4</v>
      </c>
      <c r="K10" s="7" t="s">
        <v>229</v>
      </c>
      <c r="L10" s="8" t="n">
        <v>46298</v>
      </c>
    </row>
    <row r="11" customFormat="false" ht="15" hidden="false" customHeight="false" outlineLevel="0" collapsed="false">
      <c r="A11" s="4" t="s">
        <v>87</v>
      </c>
      <c r="B11" s="4" t="s">
        <v>242</v>
      </c>
      <c r="C11" s="6" t="n">
        <v>1155</v>
      </c>
      <c r="D11" s="10" t="n">
        <v>9.6</v>
      </c>
      <c r="E11" s="4" t="s">
        <v>246</v>
      </c>
      <c r="F11" s="4" t="s">
        <v>247</v>
      </c>
      <c r="G11" s="4" t="s">
        <v>248</v>
      </c>
      <c r="H11" s="11" t="n">
        <v>55</v>
      </c>
      <c r="I11" s="11" t="n">
        <v>47.2</v>
      </c>
      <c r="J11" s="11" t="n">
        <f aca="false">ROUND(H11-I11,1)</f>
        <v>7.8</v>
      </c>
      <c r="K11" s="4" t="s">
        <v>235</v>
      </c>
      <c r="L11" s="5" t="n">
        <v>46300</v>
      </c>
    </row>
    <row r="12" customFormat="false" ht="15" hidden="false" customHeight="false" outlineLevel="0" collapsed="false">
      <c r="A12" s="7" t="s">
        <v>249</v>
      </c>
      <c r="B12" s="7" t="s">
        <v>242</v>
      </c>
      <c r="C12" s="9" t="n">
        <v>310</v>
      </c>
      <c r="D12" s="14" t="n">
        <v>1.2</v>
      </c>
      <c r="E12" s="7" t="s">
        <v>250</v>
      </c>
      <c r="F12" s="7" t="s">
        <v>251</v>
      </c>
      <c r="G12" s="7" t="s">
        <v>252</v>
      </c>
      <c r="H12" s="15" t="n">
        <v>85</v>
      </c>
      <c r="I12" s="15" t="n">
        <v>86</v>
      </c>
      <c r="J12" s="15" t="n">
        <f aca="false">ROUND(H12-I12,1)</f>
        <v>-1</v>
      </c>
      <c r="K12" s="7" t="s">
        <v>217</v>
      </c>
      <c r="L12" s="8" t="n">
        <v>46309</v>
      </c>
    </row>
    <row r="13" customFormat="false" ht="15" hidden="false" customHeight="false" outlineLevel="0" collapsed="false">
      <c r="A13" s="4" t="s">
        <v>253</v>
      </c>
      <c r="B13" s="4" t="s">
        <v>254</v>
      </c>
      <c r="C13" s="6" t="n">
        <v>640</v>
      </c>
      <c r="D13" s="10" t="n">
        <v>11.8</v>
      </c>
      <c r="E13" s="4" t="s">
        <v>255</v>
      </c>
      <c r="F13" s="4" t="s">
        <v>256</v>
      </c>
      <c r="G13" s="4" t="s">
        <v>257</v>
      </c>
      <c r="H13" s="11" t="n">
        <v>66</v>
      </c>
      <c r="I13" s="11" t="n">
        <v>59.3</v>
      </c>
      <c r="J13" s="11" t="n">
        <f aca="false">ROUND(H13-I13,1)</f>
        <v>6.7</v>
      </c>
      <c r="K13" s="4" t="s">
        <v>235</v>
      </c>
      <c r="L13" s="5" t="n">
        <v>46304</v>
      </c>
    </row>
    <row r="14" customFormat="false" ht="15" hidden="false" customHeight="false" outlineLevel="0" collapsed="false">
      <c r="A14" s="7" t="s">
        <v>258</v>
      </c>
      <c r="B14" s="7" t="s">
        <v>259</v>
      </c>
      <c r="C14" s="9" t="n">
        <v>420</v>
      </c>
      <c r="D14" s="14" t="n">
        <v>4.4</v>
      </c>
      <c r="E14" s="7" t="s">
        <v>260</v>
      </c>
      <c r="F14" s="7" t="s">
        <v>227</v>
      </c>
      <c r="G14" s="7" t="s">
        <v>261</v>
      </c>
      <c r="H14" s="15" t="n">
        <v>35</v>
      </c>
      <c r="I14" s="15" t="n">
        <v>31.8</v>
      </c>
      <c r="J14" s="15" t="n">
        <f aca="false">ROUND(H14-I14,1)</f>
        <v>3.2</v>
      </c>
      <c r="K14" s="7" t="s">
        <v>229</v>
      </c>
      <c r="L14" s="8" t="n">
        <v>46308</v>
      </c>
    </row>
  </sheetData>
  <mergeCells count="2">
    <mergeCell ref="A1:L1"/>
    <mergeCell ref="A2:L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7"/>
    <col collapsed="false" customWidth="true" hidden="false" outlineLevel="0" max="4" min="2" style="0" width="11"/>
    <col collapsed="false" customWidth="true" hidden="false" outlineLevel="0" max="6" min="5" style="0" width="10"/>
    <col collapsed="false" customWidth="true" hidden="false" outlineLevel="0" max="7" min="7" style="0" width="11"/>
    <col collapsed="false" customWidth="true" hidden="false" outlineLevel="0" max="8" min="8" style="0" width="10"/>
    <col collapsed="false" customWidth="true" hidden="false" outlineLevel="0" max="9" min="9" style="0" width="12"/>
    <col collapsed="false" customWidth="true" hidden="false" outlineLevel="0" max="11" min="10" style="0" width="11"/>
    <col collapsed="false" customWidth="true" hidden="false" outlineLevel="0" max="12" min="12" style="0" width="10"/>
    <col collapsed="false" customWidth="true" hidden="false" outlineLevel="0" max="13" min="13" style="0" width="17"/>
    <col collapsed="false" customWidth="true" hidden="false" outlineLevel="0" max="14" min="14" style="0" width="13"/>
  </cols>
  <sheetData>
    <row r="1" customFormat="false" ht="27.75" hidden="false" customHeight="true" outlineLevel="0" collapsed="false">
      <c r="A1" s="1" t="s">
        <v>262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15" hidden="false" customHeight="false" outlineLevel="0" collapsed="false">
      <c r="A2" s="2" t="s">
        <v>263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4" customFormat="false" ht="30" hidden="false" customHeight="true" outlineLevel="0" collapsed="false">
      <c r="A4" s="3" t="s">
        <v>264</v>
      </c>
      <c r="B4" s="3" t="s">
        <v>265</v>
      </c>
      <c r="C4" s="3" t="s">
        <v>266</v>
      </c>
      <c r="D4" s="3" t="s">
        <v>267</v>
      </c>
      <c r="E4" s="3" t="s">
        <v>268</v>
      </c>
      <c r="F4" s="3" t="s">
        <v>269</v>
      </c>
      <c r="G4" s="3" t="s">
        <v>270</v>
      </c>
      <c r="H4" s="3" t="s">
        <v>271</v>
      </c>
      <c r="I4" s="3" t="s">
        <v>272</v>
      </c>
      <c r="J4" s="3" t="s">
        <v>273</v>
      </c>
      <c r="K4" s="3" t="s">
        <v>274</v>
      </c>
      <c r="L4" s="3" t="s">
        <v>275</v>
      </c>
      <c r="M4" s="3" t="s">
        <v>276</v>
      </c>
      <c r="N4" s="3" t="s">
        <v>277</v>
      </c>
    </row>
    <row r="5" customFormat="false" ht="15" hidden="false" customHeight="false" outlineLevel="0" collapsed="false">
      <c r="A5" s="4" t="s">
        <v>46</v>
      </c>
      <c r="B5" s="4" t="s">
        <v>278</v>
      </c>
      <c r="C5" s="6" t="n">
        <v>1240</v>
      </c>
      <c r="D5" s="6" t="n">
        <v>868</v>
      </c>
      <c r="E5" s="11" t="n">
        <f aca="false">ROUND(D5/C5*100,1)</f>
        <v>70</v>
      </c>
      <c r="F5" s="12" t="n">
        <v>46</v>
      </c>
      <c r="G5" s="12" t="n">
        <v>46</v>
      </c>
      <c r="H5" s="11" t="n">
        <f aca="false">ROUND(G5/F5*100,1)</f>
        <v>100</v>
      </c>
      <c r="I5" s="12" t="n">
        <v>0</v>
      </c>
      <c r="J5" s="12" t="n">
        <v>2</v>
      </c>
      <c r="K5" s="11" t="n">
        <f aca="false">ROUND(J5/C5*1000,1)</f>
        <v>1.6</v>
      </c>
      <c r="L5" s="12" t="n">
        <v>88</v>
      </c>
      <c r="M5" s="4" t="s">
        <v>279</v>
      </c>
      <c r="N5" s="5" t="n">
        <v>46387</v>
      </c>
    </row>
    <row r="6" customFormat="false" ht="15" hidden="false" customHeight="false" outlineLevel="0" collapsed="false">
      <c r="A6" s="7" t="s">
        <v>86</v>
      </c>
      <c r="B6" s="7" t="s">
        <v>280</v>
      </c>
      <c r="C6" s="9" t="n">
        <v>1610</v>
      </c>
      <c r="D6" s="9" t="n">
        <v>1014</v>
      </c>
      <c r="E6" s="15" t="n">
        <f aca="false">ROUND(D6/C6*100,1)</f>
        <v>63</v>
      </c>
      <c r="F6" s="16" t="n">
        <v>58</v>
      </c>
      <c r="G6" s="16" t="n">
        <v>52</v>
      </c>
      <c r="H6" s="15" t="n">
        <f aca="false">ROUND(G6/F6*100,1)</f>
        <v>89.7</v>
      </c>
      <c r="I6" s="16" t="n">
        <v>9</v>
      </c>
      <c r="J6" s="16" t="n">
        <v>11</v>
      </c>
      <c r="K6" s="15" t="n">
        <f aca="false">ROUND(J6/C6*1000,1)</f>
        <v>6.8</v>
      </c>
      <c r="L6" s="16" t="n">
        <v>71</v>
      </c>
      <c r="M6" s="7" t="s">
        <v>281</v>
      </c>
      <c r="N6" s="8" t="n">
        <v>46356</v>
      </c>
    </row>
    <row r="7" customFormat="false" ht="15" hidden="false" customHeight="false" outlineLevel="0" collapsed="false">
      <c r="A7" s="4" t="s">
        <v>282</v>
      </c>
      <c r="B7" s="4" t="s">
        <v>283</v>
      </c>
      <c r="C7" s="6" t="n">
        <v>890</v>
      </c>
      <c r="D7" s="6" t="n">
        <v>641</v>
      </c>
      <c r="E7" s="11" t="n">
        <f aca="false">ROUND(D7/C7*100,1)</f>
        <v>72</v>
      </c>
      <c r="F7" s="12" t="n">
        <v>31</v>
      </c>
      <c r="G7" s="12" t="n">
        <v>31</v>
      </c>
      <c r="H7" s="11" t="n">
        <f aca="false">ROUND(G7/F7*100,1)</f>
        <v>100</v>
      </c>
      <c r="I7" s="12" t="n">
        <v>0</v>
      </c>
      <c r="J7" s="12" t="n">
        <v>1</v>
      </c>
      <c r="K7" s="11" t="n">
        <f aca="false">ROUND(J7/C7*1000,1)</f>
        <v>1.1</v>
      </c>
      <c r="L7" s="12" t="n">
        <v>91</v>
      </c>
      <c r="M7" s="4" t="s">
        <v>279</v>
      </c>
      <c r="N7" s="5" t="n">
        <v>46477</v>
      </c>
    </row>
    <row r="8" customFormat="false" ht="15" hidden="false" customHeight="false" outlineLevel="0" collapsed="false">
      <c r="A8" s="7" t="s">
        <v>74</v>
      </c>
      <c r="B8" s="7" t="s">
        <v>284</v>
      </c>
      <c r="C8" s="9" t="n">
        <v>760</v>
      </c>
      <c r="D8" s="9" t="n">
        <v>471</v>
      </c>
      <c r="E8" s="15" t="n">
        <f aca="false">ROUND(D8/C8*100,1)</f>
        <v>62</v>
      </c>
      <c r="F8" s="16" t="n">
        <v>27</v>
      </c>
      <c r="G8" s="16" t="n">
        <v>24</v>
      </c>
      <c r="H8" s="15" t="n">
        <f aca="false">ROUND(G8/F8*100,1)</f>
        <v>88.9</v>
      </c>
      <c r="I8" s="16" t="n">
        <v>3</v>
      </c>
      <c r="J8" s="16" t="n">
        <v>5</v>
      </c>
      <c r="K8" s="15" t="n">
        <f aca="false">ROUND(J8/C8*1000,1)</f>
        <v>6.6</v>
      </c>
      <c r="L8" s="16" t="n">
        <v>78</v>
      </c>
      <c r="M8" s="7" t="s">
        <v>281</v>
      </c>
      <c r="N8" s="8" t="n">
        <v>46402</v>
      </c>
    </row>
    <row r="9" customFormat="false" ht="15" hidden="false" customHeight="false" outlineLevel="0" collapsed="false">
      <c r="A9" s="4" t="s">
        <v>130</v>
      </c>
      <c r="B9" s="4" t="s">
        <v>285</v>
      </c>
      <c r="C9" s="6" t="n">
        <v>6400</v>
      </c>
      <c r="D9" s="6" t="n">
        <v>4800</v>
      </c>
      <c r="E9" s="11" t="n">
        <f aca="false">ROUND(D9/C9*100,1)</f>
        <v>75</v>
      </c>
      <c r="F9" s="12" t="n">
        <v>120</v>
      </c>
      <c r="G9" s="12" t="n">
        <v>117</v>
      </c>
      <c r="H9" s="11" t="n">
        <f aca="false">ROUND(G9/F9*100,1)</f>
        <v>97.5</v>
      </c>
      <c r="I9" s="12" t="n">
        <v>14</v>
      </c>
      <c r="J9" s="12" t="n">
        <v>8</v>
      </c>
      <c r="K9" s="11" t="n">
        <f aca="false">ROUND(J9/C9*1000,1)</f>
        <v>1.3</v>
      </c>
      <c r="L9" s="12" t="n">
        <v>82</v>
      </c>
      <c r="M9" s="4" t="s">
        <v>279</v>
      </c>
      <c r="N9" s="5" t="n">
        <v>46446</v>
      </c>
    </row>
  </sheetData>
  <mergeCells count="2">
    <mergeCell ref="A1:N1"/>
    <mergeCell ref="A2:N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2026-10-15T16:35:14Z</dcterms:created>
  <dc:creator>openpyxl</dc:creator>
  <dc:description/>
  <dc:language>en-US</dc:language>
  <cp:lastModifiedBy/>
  <dcterms:modified xsi:type="dcterms:W3CDTF">2026-10-15T16:35:14Z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